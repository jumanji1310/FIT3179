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monashuni-my.sharepoint.com/personal/jngg0073_student_monash_edu/Documents/2022 Sem 2/FIT3179/Project 2/FIT3179/data/"/>
    </mc:Choice>
  </mc:AlternateContent>
  <xr:revisionPtr revIDLastSave="33" documentId="11_F25DC773A252ABDACC104824911B6BCE5BDE58E6" xr6:coauthVersionLast="47" xr6:coauthVersionMax="47" xr10:uidLastSave="{EB8D5DA9-E2B7-40B1-8B36-72BFDBA9E7E7}"/>
  <bookViews>
    <workbookView xWindow="-108" yWindow="-108" windowWidth="30936" windowHeight="16896" activeTab="1" xr2:uid="{00000000-000D-0000-FFFF-FFFF00000000}"/>
  </bookViews>
  <sheets>
    <sheet name="Sheet1" sheetId="1" r:id="rId1"/>
    <sheet name="Clean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2" i="3" l="1"/>
  <c r="C68" i="3"/>
  <c r="C69" i="3"/>
  <c r="C66" i="3"/>
  <c r="C61" i="3"/>
  <c r="C56" i="3"/>
  <c r="C57" i="3"/>
  <c r="C58" i="3"/>
  <c r="C52" i="3"/>
  <c r="C49" i="3"/>
  <c r="C50" i="3"/>
  <c r="C46" i="3"/>
  <c r="C35" i="3"/>
  <c r="C23" i="3"/>
  <c r="C73" i="3"/>
  <c r="C71" i="3"/>
  <c r="C70" i="3"/>
  <c r="C67" i="3"/>
  <c r="C65" i="3"/>
  <c r="C64" i="3"/>
  <c r="C63" i="3"/>
  <c r="C62" i="3"/>
  <c r="C60" i="3"/>
  <c r="C59" i="3"/>
  <c r="C55" i="3"/>
  <c r="C54" i="3"/>
  <c r="C53" i="3"/>
  <c r="C51" i="3"/>
  <c r="C48" i="3"/>
  <c r="C47" i="3"/>
  <c r="C45" i="3"/>
  <c r="C44" i="3"/>
  <c r="C43" i="3"/>
  <c r="C42" i="3"/>
  <c r="C41" i="3"/>
  <c r="C40" i="3"/>
  <c r="C39" i="3"/>
  <c r="C38" i="3"/>
  <c r="C37" i="3"/>
  <c r="C36" i="3"/>
  <c r="C34" i="3"/>
  <c r="C33" i="3"/>
  <c r="C32" i="3"/>
  <c r="C31" i="3"/>
  <c r="C30" i="3"/>
  <c r="C29" i="3"/>
  <c r="C28" i="3"/>
  <c r="C27" i="3"/>
  <c r="C26" i="3"/>
  <c r="C25" i="3"/>
  <c r="C24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22" i="1"/>
  <c r="C23" i="1"/>
  <c r="C24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2" i="1"/>
</calcChain>
</file>

<file path=xl/sharedStrings.xml><?xml version="1.0" encoding="utf-8"?>
<sst xmlns="http://schemas.openxmlformats.org/spreadsheetml/2006/main" count="324" uniqueCount="162">
  <si>
    <t>Australia</t>
  </si>
  <si>
    <t>Canada</t>
  </si>
  <si>
    <t>South Korea</t>
  </si>
  <si>
    <t>Netherlands</t>
  </si>
  <si>
    <t>Japan</t>
  </si>
  <si>
    <t>Norway</t>
  </si>
  <si>
    <t>Singapore</t>
  </si>
  <si>
    <t>Switzerland</t>
  </si>
  <si>
    <t>Belgium</t>
  </si>
  <si>
    <t>Croatia</t>
  </si>
  <si>
    <t>Country</t>
  </si>
  <si>
    <t>Average speed</t>
  </si>
  <si>
    <t>New Zealand</t>
  </si>
  <si>
    <t>Austria</t>
  </si>
  <si>
    <t>Denmark</t>
  </si>
  <si>
    <t>Lithuania</t>
  </si>
  <si>
    <t>Czech Republic</t>
  </si>
  <si>
    <t>United Arab Emirates</t>
  </si>
  <si>
    <t>Hungary</t>
  </si>
  <si>
    <t>Qatar</t>
  </si>
  <si>
    <t>North Macedonia</t>
  </si>
  <si>
    <t>Finland</t>
  </si>
  <si>
    <t>Sweden</t>
  </si>
  <si>
    <t>Taiwan</t>
  </si>
  <si>
    <t>Germany</t>
  </si>
  <si>
    <t>France</t>
  </si>
  <si>
    <t>United States</t>
  </si>
  <si>
    <t>Portugal</t>
  </si>
  <si>
    <t>Spain</t>
  </si>
  <si>
    <t>Slovenia</t>
  </si>
  <si>
    <t>Albania</t>
  </si>
  <si>
    <t>Slovakia</t>
  </si>
  <si>
    <t>Oman</t>
  </si>
  <si>
    <t>Serbia</t>
  </si>
  <si>
    <t>Italy</t>
  </si>
  <si>
    <t>Lebanon</t>
  </si>
  <si>
    <t>Greece</t>
  </si>
  <si>
    <t>United Kingdom</t>
  </si>
  <si>
    <t>Hong Kong</t>
  </si>
  <si>
    <t>Romania</t>
  </si>
  <si>
    <t>Saudi Arabia</t>
  </si>
  <si>
    <t>Poland</t>
  </si>
  <si>
    <t>Vietnam</t>
  </si>
  <si>
    <t>Uruguay</t>
  </si>
  <si>
    <t>Turkey</t>
  </si>
  <si>
    <t>Mexico</t>
  </si>
  <si>
    <t>Maldives</t>
  </si>
  <si>
    <t>Ireland</t>
  </si>
  <si>
    <t>South Africa</t>
  </si>
  <si>
    <t>Puerto Rico</t>
  </si>
  <si>
    <t>Azerbaijan</t>
  </si>
  <si>
    <t>Argentina</t>
  </si>
  <si>
    <t>Morocco</t>
  </si>
  <si>
    <t>Laos</t>
  </si>
  <si>
    <t>Kuwait</t>
  </si>
  <si>
    <t>Bahrain</t>
  </si>
  <si>
    <t>Brunei</t>
  </si>
  <si>
    <t>Iran</t>
  </si>
  <si>
    <t>Tunisia</t>
  </si>
  <si>
    <t>Brazil</t>
  </si>
  <si>
    <t>Israel</t>
  </si>
  <si>
    <t>Guatemala</t>
  </si>
  <si>
    <t>Russia</t>
  </si>
  <si>
    <t>Costa Rica</t>
  </si>
  <si>
    <t>Ukraine</t>
  </si>
  <si>
    <t>Chile</t>
  </si>
  <si>
    <t>Bolivia</t>
  </si>
  <si>
    <t>Colombia</t>
  </si>
  <si>
    <t>Honduras</t>
  </si>
  <si>
    <t>Ecuador</t>
  </si>
  <si>
    <t>Jordan</t>
  </si>
  <si>
    <t>Peru</t>
  </si>
  <si>
    <t>Afghanistan</t>
  </si>
  <si>
    <t>Kazakhstan</t>
  </si>
  <si>
    <t>Dominican Republic</t>
  </si>
  <si>
    <t>Malaysia</t>
  </si>
  <si>
    <t>Kenya</t>
  </si>
  <si>
    <t>Belarus</t>
  </si>
  <si>
    <t>Paraguay</t>
  </si>
  <si>
    <t>Egypt</t>
  </si>
  <si>
    <t>Kyrgyzstan</t>
  </si>
  <si>
    <t>Sri Lanka</t>
  </si>
  <si>
    <t>Indonesia</t>
  </si>
  <si>
    <t>Thailand</t>
  </si>
  <si>
    <t>Senegal</t>
  </si>
  <si>
    <t>Philippines</t>
  </si>
  <si>
    <t>Pakistan</t>
  </si>
  <si>
    <t>Panama</t>
  </si>
  <si>
    <t>India</t>
  </si>
  <si>
    <t>Cambodia</t>
  </si>
  <si>
    <t>Cameroon</t>
  </si>
  <si>
    <t>Nepal</t>
  </si>
  <si>
    <t>Ivory Coast</t>
  </si>
  <si>
    <t>Nigeria</t>
  </si>
  <si>
    <t>Bangladesh</t>
  </si>
  <si>
    <t>Ghana</t>
  </si>
  <si>
    <t>Somalia</t>
  </si>
  <si>
    <t>Uzbekistan</t>
  </si>
  <si>
    <t>Algeria</t>
  </si>
  <si>
    <t>El Salvador</t>
  </si>
  <si>
    <t>Tanzania</t>
  </si>
  <si>
    <t>Iraq</t>
  </si>
  <si>
    <t>Angola</t>
  </si>
  <si>
    <t>Armenia</t>
  </si>
  <si>
    <t>Bahamas</t>
  </si>
  <si>
    <t>Bosnia and Herzegovina</t>
  </si>
  <si>
    <t>Botswana</t>
  </si>
  <si>
    <t>Bulgaria</t>
  </si>
  <si>
    <t>China</t>
  </si>
  <si>
    <t>Cuba</t>
  </si>
  <si>
    <t>Cyprus</t>
  </si>
  <si>
    <t>DR Congo</t>
  </si>
  <si>
    <t>Estonia</t>
  </si>
  <si>
    <t>Ethiopia</t>
  </si>
  <si>
    <t>Fiji</t>
  </si>
  <si>
    <t>Georgia</t>
  </si>
  <si>
    <t>Haiti</t>
  </si>
  <si>
    <t>Jamaica</t>
  </si>
  <si>
    <t>Kosovo</t>
  </si>
  <si>
    <t>Latvia</t>
  </si>
  <si>
    <t>Libya</t>
  </si>
  <si>
    <t>Luxembourg</t>
  </si>
  <si>
    <t>Macau</t>
  </si>
  <si>
    <t>Malawi</t>
  </si>
  <si>
    <t>Malta</t>
  </si>
  <si>
    <t>Mauritius</t>
  </si>
  <si>
    <t>Moldova</t>
  </si>
  <si>
    <t>Mongolia</t>
  </si>
  <si>
    <t>Montenegro</t>
  </si>
  <si>
    <t>Mozambique</t>
  </si>
  <si>
    <t>Myanmar</t>
  </si>
  <si>
    <t>Namibia</t>
  </si>
  <si>
    <t>Nicaragua</t>
  </si>
  <si>
    <t>Palestine</t>
  </si>
  <si>
    <t>Sudan</t>
  </si>
  <si>
    <t>Suriname</t>
  </si>
  <si>
    <t>Syria</t>
  </si>
  <si>
    <t>Tajikistan</t>
  </si>
  <si>
    <t>Togo</t>
  </si>
  <si>
    <t>Trinidad and Tobago</t>
  </si>
  <si>
    <t>Uganda</t>
  </si>
  <si>
    <t>Venezuela</t>
  </si>
  <si>
    <t>Yemen</t>
  </si>
  <si>
    <t>Zambia</t>
  </si>
  <si>
    <t>Zimbabwe</t>
  </si>
  <si>
    <t>Andorra</t>
  </si>
  <si>
    <t>Barbados</t>
  </si>
  <si>
    <t>Belize</t>
  </si>
  <si>
    <t>Dominica</t>
  </si>
  <si>
    <t>Grenada</t>
  </si>
  <si>
    <t>Guyana</t>
  </si>
  <si>
    <t>Liechtenstein</t>
  </si>
  <si>
    <t>Madagascar</t>
  </si>
  <si>
    <t>Monaco</t>
  </si>
  <si>
    <t>Republic of China</t>
  </si>
  <si>
    <t>Saint Lucia</t>
  </si>
  <si>
    <t>Saint Vincent and the Grenadines</t>
  </si>
  <si>
    <t>San Marino</t>
  </si>
  <si>
    <t>Average broadband speed</t>
  </si>
  <si>
    <t>Broadband</t>
  </si>
  <si>
    <t>Mobile average speed</t>
  </si>
  <si>
    <t>Broadband average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</si>
</sst>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4"/>
  <sheetViews>
    <sheetView workbookViewId="0">
      <selection activeCell="F22" sqref="A1:XFD1048576"/>
    </sheetView>
  </sheetViews>
  <sheetFormatPr defaultRowHeight="14.4" x14ac:dyDescent="0.3"/>
  <cols>
    <col min="1" max="1" width="20.5546875" bestFit="1" customWidth="1"/>
    <col min="2" max="2" width="8.44140625" bestFit="1" customWidth="1"/>
    <col min="3" max="3" width="14.5546875" customWidth="1"/>
  </cols>
  <sheetData>
    <row r="1" spans="1:3" ht="28.8" x14ac:dyDescent="0.3">
      <c r="A1" t="s">
        <v>10</v>
      </c>
      <c r="B1" s="1" t="s">
        <v>11</v>
      </c>
      <c r="C1" s="1" t="s">
        <v>159</v>
      </c>
    </row>
    <row r="2" spans="1:3" x14ac:dyDescent="0.3">
      <c r="A2" t="s">
        <v>0</v>
      </c>
      <c r="B2">
        <v>100</v>
      </c>
      <c r="C2">
        <f>VLOOKUP($A2,Sheet2!$A$2:$B$102,2,FALSE)</f>
        <v>77.88</v>
      </c>
    </row>
    <row r="3" spans="1:3" x14ac:dyDescent="0.3">
      <c r="A3" t="s">
        <v>1</v>
      </c>
      <c r="B3">
        <v>59.6</v>
      </c>
      <c r="C3">
        <f>VLOOKUP($A3,Sheet2!$A$2:$B$102,2,FALSE)</f>
        <v>175.61</v>
      </c>
    </row>
    <row r="4" spans="1:3" x14ac:dyDescent="0.3">
      <c r="A4" t="s">
        <v>2</v>
      </c>
      <c r="B4">
        <v>59</v>
      </c>
      <c r="C4">
        <f>VLOOKUP($A4,Sheet2!$A$2:$B$102,2,FALSE)</f>
        <v>241.58</v>
      </c>
    </row>
    <row r="5" spans="1:3" x14ac:dyDescent="0.3">
      <c r="A5" t="s">
        <v>3</v>
      </c>
      <c r="B5">
        <v>54.8</v>
      </c>
      <c r="C5">
        <f>VLOOKUP($A5,Sheet2!$A$2:$B$102,2,FALSE)</f>
        <v>152.94</v>
      </c>
    </row>
    <row r="6" spans="1:3" x14ac:dyDescent="0.3">
      <c r="A6" t="s">
        <v>4</v>
      </c>
      <c r="B6">
        <v>51.4</v>
      </c>
      <c r="C6">
        <f>VLOOKUP($A6,Sheet2!$A$2:$B$102,2,FALSE)</f>
        <v>167.18</v>
      </c>
    </row>
    <row r="7" spans="1:3" x14ac:dyDescent="0.3">
      <c r="A7" t="s">
        <v>5</v>
      </c>
      <c r="B7">
        <v>48.8</v>
      </c>
      <c r="C7">
        <f>VLOOKUP($A7,Sheet2!$A$2:$B$102,2,FALSE)</f>
        <v>159.99</v>
      </c>
    </row>
    <row r="8" spans="1:3" x14ac:dyDescent="0.3">
      <c r="A8" t="s">
        <v>6</v>
      </c>
      <c r="B8">
        <v>47.5</v>
      </c>
      <c r="C8">
        <f>VLOOKUP($A8,Sheet2!$A$2:$B$102,2,FALSE)</f>
        <v>245.5</v>
      </c>
    </row>
    <row r="9" spans="1:3" x14ac:dyDescent="0.3">
      <c r="A9" t="s">
        <v>7</v>
      </c>
      <c r="B9">
        <v>42.8</v>
      </c>
      <c r="C9">
        <f>VLOOKUP($A9,Sheet2!$A$2:$B$102,2,FALSE)</f>
        <v>188.69</v>
      </c>
    </row>
    <row r="10" spans="1:3" x14ac:dyDescent="0.3">
      <c r="A10" t="s">
        <v>8</v>
      </c>
      <c r="B10">
        <v>37.6</v>
      </c>
      <c r="C10">
        <f>VLOOKUP($A10,Sheet2!$A$2:$B$102,2,FALSE)</f>
        <v>107.12</v>
      </c>
    </row>
    <row r="11" spans="1:3" x14ac:dyDescent="0.3">
      <c r="A11" t="s">
        <v>9</v>
      </c>
      <c r="B11">
        <v>36.6</v>
      </c>
      <c r="C11">
        <f>VLOOKUP($A11,Sheet2!$A$2:$B$102,2,FALSE)</f>
        <v>57.3</v>
      </c>
    </row>
    <row r="12" spans="1:3" x14ac:dyDescent="0.3">
      <c r="A12" t="s">
        <v>12</v>
      </c>
      <c r="B12">
        <v>35.200000000000003</v>
      </c>
      <c r="C12">
        <f>VLOOKUP($A12,Sheet2!$A$2:$B$102,2,FALSE)</f>
        <v>153.88</v>
      </c>
    </row>
    <row r="13" spans="1:3" x14ac:dyDescent="0.3">
      <c r="A13" t="s">
        <v>13</v>
      </c>
      <c r="B13">
        <v>34.6</v>
      </c>
      <c r="C13">
        <f>VLOOKUP($A13,Sheet2!$A$2:$B$102,2,FALSE)</f>
        <v>117.31</v>
      </c>
    </row>
    <row r="14" spans="1:3" x14ac:dyDescent="0.3">
      <c r="A14" t="s">
        <v>14</v>
      </c>
      <c r="B14">
        <v>33.5</v>
      </c>
      <c r="C14">
        <f>VLOOKUP($A14,Sheet2!$A$2:$B$102,2,FALSE)</f>
        <v>210.71</v>
      </c>
    </row>
    <row r="15" spans="1:3" x14ac:dyDescent="0.3">
      <c r="A15" t="s">
        <v>15</v>
      </c>
      <c r="B15">
        <v>33.299999999999997</v>
      </c>
      <c r="C15">
        <f>VLOOKUP($A15,Sheet2!$A$2:$B$102,2,FALSE)</f>
        <v>132.66999999999999</v>
      </c>
    </row>
    <row r="16" spans="1:3" x14ac:dyDescent="0.3">
      <c r="A16" t="s">
        <v>16</v>
      </c>
      <c r="B16">
        <v>32.700000000000003</v>
      </c>
      <c r="C16">
        <f>VLOOKUP($A16,Sheet2!$A$2:$B$102,2,FALSE)</f>
        <v>85.89</v>
      </c>
    </row>
    <row r="17" spans="1:3" x14ac:dyDescent="0.3">
      <c r="A17" t="s">
        <v>17</v>
      </c>
      <c r="B17">
        <v>31.8</v>
      </c>
      <c r="C17">
        <f>VLOOKUP($A17,Sheet2!$A$2:$B$102,2,FALSE)</f>
        <v>151.09</v>
      </c>
    </row>
    <row r="18" spans="1:3" x14ac:dyDescent="0.3">
      <c r="A18" t="s">
        <v>18</v>
      </c>
      <c r="B18">
        <v>31.7</v>
      </c>
      <c r="C18">
        <f>VLOOKUP($A18,Sheet2!$A$2:$B$102,2,FALSE)</f>
        <v>193.8</v>
      </c>
    </row>
    <row r="19" spans="1:3" x14ac:dyDescent="0.3">
      <c r="A19" t="s">
        <v>19</v>
      </c>
      <c r="B19">
        <v>31.3</v>
      </c>
      <c r="C19">
        <f>VLOOKUP($A19,Sheet2!$A$2:$B$102,2,FALSE)</f>
        <v>105.2</v>
      </c>
    </row>
    <row r="20" spans="1:3" x14ac:dyDescent="0.3">
      <c r="A20" t="s">
        <v>20</v>
      </c>
      <c r="B20">
        <v>30</v>
      </c>
      <c r="C20">
        <f>VLOOKUP($A20,Sheet2!$A$2:$B$102,2,FALSE)</f>
        <v>37.200000000000003</v>
      </c>
    </row>
    <row r="21" spans="1:3" x14ac:dyDescent="0.3">
      <c r="A21" t="s">
        <v>21</v>
      </c>
      <c r="B21">
        <v>29.8</v>
      </c>
      <c r="C21">
        <f>VLOOKUP($A21,Sheet2!$A$2:$B$102,2,FALSE)</f>
        <v>119.32</v>
      </c>
    </row>
    <row r="22" spans="1:3" x14ac:dyDescent="0.3">
      <c r="A22" t="s">
        <v>22</v>
      </c>
      <c r="B22">
        <v>29.7</v>
      </c>
      <c r="C22">
        <f>VLOOKUP($A22,Sheet2!$A$2:$B$102,2,FALSE)</f>
        <v>169</v>
      </c>
    </row>
    <row r="23" spans="1:3" x14ac:dyDescent="0.3">
      <c r="A23" t="s">
        <v>23</v>
      </c>
      <c r="B23">
        <v>28.9</v>
      </c>
      <c r="C23" t="e">
        <f>VLOOKUP($A23,Sheet2!$A$2:$B$102,2,FALSE)</f>
        <v>#N/A</v>
      </c>
    </row>
    <row r="24" spans="1:3" x14ac:dyDescent="0.3">
      <c r="A24" t="s">
        <v>24</v>
      </c>
      <c r="B24">
        <v>28.7</v>
      </c>
      <c r="C24">
        <f>VLOOKUP($A24,Sheet2!$A$2:$B$102,2,FALSE)</f>
        <v>120.93</v>
      </c>
    </row>
    <row r="25" spans="1:3" x14ac:dyDescent="0.3">
      <c r="A25" t="s">
        <v>25</v>
      </c>
      <c r="B25">
        <v>28.6</v>
      </c>
      <c r="C25">
        <f>VLOOKUP($A25,Sheet2!$A$2:$B$102,2,FALSE)</f>
        <v>192.25</v>
      </c>
    </row>
    <row r="26" spans="1:3" x14ac:dyDescent="0.3">
      <c r="A26" t="s">
        <v>26</v>
      </c>
      <c r="B26">
        <v>26.7</v>
      </c>
      <c r="C26">
        <f>VLOOKUP($A26,Sheet2!$A$2:$B$102,2,FALSE)</f>
        <v>191.97</v>
      </c>
    </row>
    <row r="27" spans="1:3" x14ac:dyDescent="0.3">
      <c r="A27" t="s">
        <v>27</v>
      </c>
      <c r="B27">
        <v>26.3</v>
      </c>
      <c r="C27">
        <f>VLOOKUP($A27,Sheet2!$A$2:$B$102,2,FALSE)</f>
        <v>150.38999999999999</v>
      </c>
    </row>
    <row r="28" spans="1:3" x14ac:dyDescent="0.3">
      <c r="A28" t="s">
        <v>28</v>
      </c>
      <c r="B28">
        <v>26.2</v>
      </c>
      <c r="C28">
        <f>VLOOKUP($A28,Sheet2!$A$2:$B$102,2,FALSE)</f>
        <v>186.4</v>
      </c>
    </row>
    <row r="29" spans="1:3" x14ac:dyDescent="0.3">
      <c r="A29" t="s">
        <v>29</v>
      </c>
      <c r="B29">
        <v>26</v>
      </c>
      <c r="C29">
        <f>VLOOKUP($A29,Sheet2!$A$2:$B$102,2,FALSE)</f>
        <v>108.47</v>
      </c>
    </row>
    <row r="30" spans="1:3" x14ac:dyDescent="0.3">
      <c r="A30" t="s">
        <v>30</v>
      </c>
      <c r="B30">
        <v>25.8</v>
      </c>
      <c r="C30">
        <f>VLOOKUP($A30,Sheet2!$A$2:$B$102,2,FALSE)</f>
        <v>45.25</v>
      </c>
    </row>
    <row r="31" spans="1:3" x14ac:dyDescent="0.3">
      <c r="A31" t="s">
        <v>31</v>
      </c>
      <c r="B31">
        <v>25.3</v>
      </c>
      <c r="C31">
        <f>VLOOKUP($A31,Sheet2!$A$2:$B$102,2,FALSE)</f>
        <v>101.28</v>
      </c>
    </row>
    <row r="32" spans="1:3" x14ac:dyDescent="0.3">
      <c r="A32" t="s">
        <v>32</v>
      </c>
      <c r="B32">
        <v>25.2</v>
      </c>
      <c r="C32">
        <f>VLOOKUP($A32,Sheet2!$A$2:$B$102,2,FALSE)</f>
        <v>57.53</v>
      </c>
    </row>
    <row r="33" spans="1:3" x14ac:dyDescent="0.3">
      <c r="A33" t="s">
        <v>33</v>
      </c>
      <c r="B33">
        <v>25.2</v>
      </c>
      <c r="C33">
        <f>VLOOKUP($A33,Sheet2!$A$2:$B$102,2,FALSE)</f>
        <v>77.88</v>
      </c>
    </row>
    <row r="34" spans="1:3" x14ac:dyDescent="0.3">
      <c r="A34" t="s">
        <v>34</v>
      </c>
      <c r="B34">
        <v>24.3</v>
      </c>
      <c r="C34">
        <f>VLOOKUP($A34,Sheet2!$A$2:$B$102,2,FALSE)</f>
        <v>90.93</v>
      </c>
    </row>
    <row r="35" spans="1:3" x14ac:dyDescent="0.3">
      <c r="A35" t="s">
        <v>35</v>
      </c>
      <c r="B35">
        <v>23.8</v>
      </c>
      <c r="C35" t="e">
        <f>VLOOKUP($A35,Sheet2!$A$2:$B$102,2,FALSE)</f>
        <v>#N/A</v>
      </c>
    </row>
    <row r="36" spans="1:3" x14ac:dyDescent="0.3">
      <c r="A36" t="s">
        <v>36</v>
      </c>
      <c r="B36">
        <v>23.7</v>
      </c>
      <c r="C36">
        <f>VLOOKUP($A36,Sheet2!$A$2:$B$102,2,FALSE)</f>
        <v>36.729999999999997</v>
      </c>
    </row>
    <row r="37" spans="1:3" x14ac:dyDescent="0.3">
      <c r="A37" t="s">
        <v>37</v>
      </c>
      <c r="B37">
        <v>22.9</v>
      </c>
      <c r="C37">
        <f>VLOOKUP($A37,Sheet2!$A$2:$B$102,2,FALSE)</f>
        <v>92.63</v>
      </c>
    </row>
    <row r="38" spans="1:3" x14ac:dyDescent="0.3">
      <c r="A38" t="s">
        <v>38</v>
      </c>
      <c r="B38">
        <v>21.8</v>
      </c>
      <c r="C38">
        <f>VLOOKUP($A38,Sheet2!$A$2:$B$102,2,FALSE)</f>
        <v>240.83</v>
      </c>
    </row>
    <row r="39" spans="1:3" x14ac:dyDescent="0.3">
      <c r="A39" t="s">
        <v>39</v>
      </c>
      <c r="B39">
        <v>21.4</v>
      </c>
      <c r="C39">
        <f>VLOOKUP($A39,Sheet2!$A$2:$B$102,2,FALSE)</f>
        <v>214.33</v>
      </c>
    </row>
    <row r="40" spans="1:3" x14ac:dyDescent="0.3">
      <c r="A40" t="s">
        <v>40</v>
      </c>
      <c r="B40">
        <v>21.4</v>
      </c>
      <c r="C40">
        <f>VLOOKUP($A40,Sheet2!$A$2:$B$102,2,FALSE)</f>
        <v>90.24</v>
      </c>
    </row>
    <row r="41" spans="1:3" x14ac:dyDescent="0.3">
      <c r="A41" t="s">
        <v>41</v>
      </c>
      <c r="B41">
        <v>20.7</v>
      </c>
      <c r="C41">
        <f>VLOOKUP($A41,Sheet2!$A$2:$B$102,2,FALSE)</f>
        <v>130.97999999999999</v>
      </c>
    </row>
    <row r="42" spans="1:3" x14ac:dyDescent="0.3">
      <c r="A42" t="s">
        <v>42</v>
      </c>
      <c r="B42">
        <v>20.6</v>
      </c>
      <c r="C42">
        <f>VLOOKUP($A42,Sheet2!$A$2:$B$102,2,FALSE)</f>
        <v>66.38</v>
      </c>
    </row>
    <row r="43" spans="1:3" x14ac:dyDescent="0.3">
      <c r="A43" t="s">
        <v>43</v>
      </c>
      <c r="B43">
        <v>20.3</v>
      </c>
      <c r="C43">
        <f>VLOOKUP($A43,Sheet2!$A$2:$B$102,2,FALSE)</f>
        <v>53.88</v>
      </c>
    </row>
    <row r="44" spans="1:3" x14ac:dyDescent="0.3">
      <c r="A44" t="s">
        <v>44</v>
      </c>
      <c r="B44">
        <v>20</v>
      </c>
      <c r="C44">
        <f>VLOOKUP($A44,Sheet2!$A$2:$B$102,2,FALSE)</f>
        <v>62.52</v>
      </c>
    </row>
    <row r="45" spans="1:3" x14ac:dyDescent="0.3">
      <c r="A45" t="s">
        <v>45</v>
      </c>
      <c r="B45">
        <v>19.600000000000001</v>
      </c>
      <c r="C45">
        <f>VLOOKUP($A45,Sheet2!$A$2:$B$102,2,FALSE)</f>
        <v>48.35</v>
      </c>
    </row>
    <row r="46" spans="1:3" x14ac:dyDescent="0.3">
      <c r="A46" t="s">
        <v>46</v>
      </c>
      <c r="B46">
        <v>19.399999999999999</v>
      </c>
      <c r="C46" t="e">
        <f>VLOOKUP($A46,Sheet2!$A$2:$B$102,2,FALSE)</f>
        <v>#N/A</v>
      </c>
    </row>
    <row r="47" spans="1:3" x14ac:dyDescent="0.3">
      <c r="A47" t="s">
        <v>47</v>
      </c>
      <c r="B47">
        <v>19.2</v>
      </c>
      <c r="C47">
        <f>VLOOKUP($A47,Sheet2!$A$2:$B$102,2,FALSE)</f>
        <v>112.81</v>
      </c>
    </row>
    <row r="48" spans="1:3" x14ac:dyDescent="0.3">
      <c r="A48" t="s">
        <v>48</v>
      </c>
      <c r="B48">
        <v>19.100000000000001</v>
      </c>
      <c r="C48">
        <f>VLOOKUP($A48,Sheet2!$A$2:$B$102,2,FALSE)</f>
        <v>43.91</v>
      </c>
    </row>
    <row r="49" spans="1:3" x14ac:dyDescent="0.3">
      <c r="A49" t="s">
        <v>49</v>
      </c>
      <c r="B49">
        <v>18</v>
      </c>
      <c r="C49" t="e">
        <f>VLOOKUP($A49,Sheet2!$A$2:$B$102,2,FALSE)</f>
        <v>#N/A</v>
      </c>
    </row>
    <row r="50" spans="1:3" x14ac:dyDescent="0.3">
      <c r="A50" t="s">
        <v>50</v>
      </c>
      <c r="B50">
        <v>17.8</v>
      </c>
      <c r="C50" t="e">
        <f>VLOOKUP($A50,Sheet2!$A$2:$B$102,2,FALSE)</f>
        <v>#N/A</v>
      </c>
    </row>
    <row r="51" spans="1:3" x14ac:dyDescent="0.3">
      <c r="A51" t="s">
        <v>51</v>
      </c>
      <c r="B51">
        <v>17.399999999999999</v>
      </c>
      <c r="C51">
        <f>VLOOKUP($A51,Sheet2!$A$2:$B$102,2,FALSE)</f>
        <v>51.51</v>
      </c>
    </row>
    <row r="52" spans="1:3" x14ac:dyDescent="0.3">
      <c r="A52" t="s">
        <v>52</v>
      </c>
      <c r="B52">
        <v>17.399999999999999</v>
      </c>
      <c r="C52" t="e">
        <f>VLOOKUP($A52,Sheet2!$A$2:$B$102,2,FALSE)</f>
        <v>#N/A</v>
      </c>
    </row>
    <row r="53" spans="1:3" x14ac:dyDescent="0.3">
      <c r="A53" t="s">
        <v>53</v>
      </c>
      <c r="B53">
        <v>17.100000000000001</v>
      </c>
      <c r="C53">
        <f>VLOOKUP($A53,Sheet2!$A$2:$B$102,2,FALSE)</f>
        <v>43.98</v>
      </c>
    </row>
    <row r="54" spans="1:3" x14ac:dyDescent="0.3">
      <c r="A54" t="s">
        <v>54</v>
      </c>
      <c r="B54">
        <v>16.600000000000001</v>
      </c>
      <c r="C54">
        <f>VLOOKUP($A54,Sheet2!$A$2:$B$102,2,FALSE)</f>
        <v>130.66</v>
      </c>
    </row>
    <row r="55" spans="1:3" x14ac:dyDescent="0.3">
      <c r="A55" t="s">
        <v>55</v>
      </c>
      <c r="B55">
        <v>16.399999999999999</v>
      </c>
      <c r="C55">
        <f>VLOOKUP($A55,Sheet2!$A$2:$B$102,2,FALSE)</f>
        <v>58.53</v>
      </c>
    </row>
    <row r="56" spans="1:3" x14ac:dyDescent="0.3">
      <c r="A56" t="s">
        <v>56</v>
      </c>
      <c r="B56">
        <v>16.399999999999999</v>
      </c>
      <c r="C56" t="e">
        <f>VLOOKUP($A56,Sheet2!$A$2:$B$102,2,FALSE)</f>
        <v>#N/A</v>
      </c>
    </row>
    <row r="57" spans="1:3" x14ac:dyDescent="0.3">
      <c r="A57" t="s">
        <v>57</v>
      </c>
      <c r="B57">
        <v>16.399999999999999</v>
      </c>
      <c r="C57" t="e">
        <f>VLOOKUP($A57,Sheet2!$A$2:$B$102,2,FALSE)</f>
        <v>#N/A</v>
      </c>
    </row>
    <row r="58" spans="1:3" x14ac:dyDescent="0.3">
      <c r="A58" t="s">
        <v>58</v>
      </c>
      <c r="B58">
        <v>15.5</v>
      </c>
      <c r="C58" t="e">
        <f>VLOOKUP($A58,Sheet2!$A$2:$B$102,2,FALSE)</f>
        <v>#N/A</v>
      </c>
    </row>
    <row r="59" spans="1:3" x14ac:dyDescent="0.3">
      <c r="A59" t="s">
        <v>59</v>
      </c>
      <c r="B59">
        <v>15.3</v>
      </c>
      <c r="C59">
        <f>VLOOKUP($A59,Sheet2!$A$2:$B$102,2,FALSE)</f>
        <v>90.3</v>
      </c>
    </row>
    <row r="60" spans="1:3" x14ac:dyDescent="0.3">
      <c r="A60" t="s">
        <v>60</v>
      </c>
      <c r="B60">
        <v>15.2</v>
      </c>
      <c r="C60">
        <f>VLOOKUP($A60,Sheet2!$A$2:$B$102,2,FALSE)</f>
        <v>147.36000000000001</v>
      </c>
    </row>
    <row r="61" spans="1:3" x14ac:dyDescent="0.3">
      <c r="A61" t="s">
        <v>61</v>
      </c>
      <c r="B61">
        <v>15</v>
      </c>
      <c r="C61" t="e">
        <f>VLOOKUP($A61,Sheet2!$A$2:$B$102,2,FALSE)</f>
        <v>#N/A</v>
      </c>
    </row>
    <row r="62" spans="1:3" x14ac:dyDescent="0.3">
      <c r="A62" t="s">
        <v>62</v>
      </c>
      <c r="B62">
        <v>14.5</v>
      </c>
      <c r="C62">
        <f>VLOOKUP($A62,Sheet2!$A$2:$B$102,2,FALSE)</f>
        <v>87.01</v>
      </c>
    </row>
    <row r="63" spans="1:3" x14ac:dyDescent="0.3">
      <c r="A63" t="s">
        <v>63</v>
      </c>
      <c r="B63">
        <v>14</v>
      </c>
      <c r="C63">
        <f>VLOOKUP($A63,Sheet2!$A$2:$B$102,2,FALSE)</f>
        <v>47.93</v>
      </c>
    </row>
    <row r="64" spans="1:3" x14ac:dyDescent="0.3">
      <c r="A64" t="s">
        <v>64</v>
      </c>
      <c r="B64">
        <v>14</v>
      </c>
      <c r="C64">
        <f>VLOOKUP($A64,Sheet2!$A$2:$B$102,2,FALSE)</f>
        <v>67.52</v>
      </c>
    </row>
    <row r="65" spans="1:3" x14ac:dyDescent="0.3">
      <c r="A65" t="s">
        <v>65</v>
      </c>
      <c r="B65">
        <v>13.7</v>
      </c>
      <c r="C65">
        <f>VLOOKUP($A65,Sheet2!$A$2:$B$102,2,FALSE)</f>
        <v>176.48</v>
      </c>
    </row>
    <row r="66" spans="1:3" x14ac:dyDescent="0.3">
      <c r="A66" t="s">
        <v>66</v>
      </c>
      <c r="B66">
        <v>13.6</v>
      </c>
      <c r="C66" t="e">
        <f>VLOOKUP($A66,Sheet2!$A$2:$B$102,2,FALSE)</f>
        <v>#N/A</v>
      </c>
    </row>
    <row r="67" spans="1:3" x14ac:dyDescent="0.3">
      <c r="A67" t="s">
        <v>67</v>
      </c>
      <c r="B67">
        <v>13.4</v>
      </c>
      <c r="C67">
        <f>VLOOKUP($A67,Sheet2!$A$2:$B$102,2,FALSE)</f>
        <v>53.73</v>
      </c>
    </row>
    <row r="68" spans="1:3" x14ac:dyDescent="0.3">
      <c r="A68" t="s">
        <v>68</v>
      </c>
      <c r="B68">
        <v>13.4</v>
      </c>
      <c r="C68" t="e">
        <f>VLOOKUP($A68,Sheet2!$A$2:$B$102,2,FALSE)</f>
        <v>#N/A</v>
      </c>
    </row>
    <row r="69" spans="1:3" x14ac:dyDescent="0.3">
      <c r="A69" t="s">
        <v>69</v>
      </c>
      <c r="B69">
        <v>13.3</v>
      </c>
      <c r="C69" t="e">
        <f>VLOOKUP($A69,Sheet2!$A$2:$B$102,2,FALSE)</f>
        <v>#N/A</v>
      </c>
    </row>
    <row r="70" spans="1:3" x14ac:dyDescent="0.3">
      <c r="A70" t="s">
        <v>70</v>
      </c>
      <c r="B70">
        <v>12.5</v>
      </c>
      <c r="C70">
        <f>VLOOKUP($A70,Sheet2!$A$2:$B$102,2,FALSE)</f>
        <v>67.349999999999994</v>
      </c>
    </row>
    <row r="71" spans="1:3" x14ac:dyDescent="0.3">
      <c r="A71" t="s">
        <v>71</v>
      </c>
      <c r="B71">
        <v>12.1</v>
      </c>
      <c r="C71">
        <f>VLOOKUP($A71,Sheet2!$A$2:$B$102,2,FALSE)</f>
        <v>51.81</v>
      </c>
    </row>
    <row r="72" spans="1:3" x14ac:dyDescent="0.3">
      <c r="A72" t="s">
        <v>72</v>
      </c>
      <c r="B72">
        <v>12</v>
      </c>
      <c r="C72" t="e">
        <f>VLOOKUP($A72,Sheet2!$A$2:$B$102,2,FALSE)</f>
        <v>#N/A</v>
      </c>
    </row>
    <row r="73" spans="1:3" x14ac:dyDescent="0.3">
      <c r="A73" t="s">
        <v>73</v>
      </c>
      <c r="B73">
        <v>11.9</v>
      </c>
      <c r="C73">
        <f>VLOOKUP($A73,Sheet2!$A$2:$B$102,2,FALSE)</f>
        <v>56.12</v>
      </c>
    </row>
    <row r="74" spans="1:3" x14ac:dyDescent="0.3">
      <c r="A74" t="s">
        <v>74</v>
      </c>
      <c r="B74">
        <v>11.5</v>
      </c>
      <c r="C74" t="e">
        <f>VLOOKUP($A74,Sheet2!$A$2:$B$102,2,FALSE)</f>
        <v>#N/A</v>
      </c>
    </row>
    <row r="75" spans="1:3" x14ac:dyDescent="0.3">
      <c r="A75" t="s">
        <v>75</v>
      </c>
      <c r="B75">
        <v>11</v>
      </c>
      <c r="C75">
        <f>VLOOKUP($A75,Sheet2!$A$2:$B$102,2,FALSE)</f>
        <v>103.34</v>
      </c>
    </row>
    <row r="76" spans="1:3" x14ac:dyDescent="0.3">
      <c r="A76" t="s">
        <v>76</v>
      </c>
      <c r="B76">
        <v>10.9</v>
      </c>
      <c r="C76" t="e">
        <f>VLOOKUP($A76,Sheet2!$A$2:$B$102,2,FALSE)</f>
        <v>#N/A</v>
      </c>
    </row>
    <row r="77" spans="1:3" x14ac:dyDescent="0.3">
      <c r="A77" t="s">
        <v>77</v>
      </c>
      <c r="B77">
        <v>10.8</v>
      </c>
      <c r="C77">
        <f>VLOOKUP($A77,Sheet2!$A$2:$B$102,2,FALSE)</f>
        <v>68.73</v>
      </c>
    </row>
    <row r="78" spans="1:3" x14ac:dyDescent="0.3">
      <c r="A78" t="s">
        <v>78</v>
      </c>
      <c r="B78">
        <v>10.8</v>
      </c>
      <c r="C78">
        <f>VLOOKUP($A78,Sheet2!$A$2:$B$102,2,FALSE)</f>
        <v>56.89</v>
      </c>
    </row>
    <row r="79" spans="1:3" x14ac:dyDescent="0.3">
      <c r="A79" t="s">
        <v>79</v>
      </c>
      <c r="B79">
        <v>10.7</v>
      </c>
      <c r="C79">
        <f>VLOOKUP($A79,Sheet2!$A$2:$B$102,2,FALSE)</f>
        <v>39.659999999999997</v>
      </c>
    </row>
    <row r="80" spans="1:3" x14ac:dyDescent="0.3">
      <c r="A80" t="s">
        <v>80</v>
      </c>
      <c r="B80">
        <v>10.5</v>
      </c>
      <c r="C80">
        <f>VLOOKUP($A80,Sheet2!$A$2:$B$102,2,FALSE)</f>
        <v>48.12</v>
      </c>
    </row>
    <row r="81" spans="1:3" x14ac:dyDescent="0.3">
      <c r="A81" t="s">
        <v>81</v>
      </c>
      <c r="B81">
        <v>10.199999999999999</v>
      </c>
      <c r="C81" t="e">
        <f>VLOOKUP($A81,Sheet2!$A$2:$B$102,2,FALSE)</f>
        <v>#N/A</v>
      </c>
    </row>
    <row r="82" spans="1:3" x14ac:dyDescent="0.3">
      <c r="A82" t="s">
        <v>82</v>
      </c>
      <c r="B82">
        <v>9.9</v>
      </c>
      <c r="C82" t="e">
        <f>VLOOKUP($A82,Sheet2!$A$2:$B$102,2,FALSE)</f>
        <v>#N/A</v>
      </c>
    </row>
    <row r="83" spans="1:3" x14ac:dyDescent="0.3">
      <c r="A83" t="s">
        <v>83</v>
      </c>
      <c r="B83">
        <v>9.1999999999999993</v>
      </c>
      <c r="C83">
        <f>VLOOKUP($A83,Sheet2!$A$2:$B$102,2,FALSE)</f>
        <v>206.81</v>
      </c>
    </row>
    <row r="84" spans="1:3" x14ac:dyDescent="0.3">
      <c r="A84" t="s">
        <v>84</v>
      </c>
      <c r="B84">
        <v>9.1</v>
      </c>
      <c r="C84">
        <f>VLOOKUP($A84,Sheet2!$A$2:$B$102,2,FALSE)</f>
        <v>35.32</v>
      </c>
    </row>
    <row r="85" spans="1:3" x14ac:dyDescent="0.3">
      <c r="A85" t="s">
        <v>85</v>
      </c>
      <c r="B85">
        <v>8.5</v>
      </c>
      <c r="C85">
        <f>VLOOKUP($A85,Sheet2!$A$2:$B$102,2,FALSE)</f>
        <v>49.31</v>
      </c>
    </row>
    <row r="86" spans="1:3" x14ac:dyDescent="0.3">
      <c r="A86" t="s">
        <v>86</v>
      </c>
      <c r="B86">
        <v>8.4</v>
      </c>
      <c r="C86" t="e">
        <f>VLOOKUP($A86,Sheet2!$A$2:$B$102,2,FALSE)</f>
        <v>#N/A</v>
      </c>
    </row>
    <row r="87" spans="1:3" x14ac:dyDescent="0.3">
      <c r="A87" t="s">
        <v>87</v>
      </c>
      <c r="B87">
        <v>8.4</v>
      </c>
      <c r="C87">
        <f>VLOOKUP($A87,Sheet2!$A$2:$B$102,2,FALSE)</f>
        <v>125.25</v>
      </c>
    </row>
    <row r="88" spans="1:3" x14ac:dyDescent="0.3">
      <c r="A88" t="s">
        <v>88</v>
      </c>
      <c r="B88">
        <v>8.1</v>
      </c>
      <c r="C88">
        <f>VLOOKUP($A88,Sheet2!$A$2:$B$102,2,FALSE)</f>
        <v>55.72</v>
      </c>
    </row>
    <row r="89" spans="1:3" x14ac:dyDescent="0.3">
      <c r="A89" t="s">
        <v>89</v>
      </c>
      <c r="B89">
        <v>8</v>
      </c>
      <c r="C89" t="e">
        <f>VLOOKUP($A89,Sheet2!$A$2:$B$102,2,FALSE)</f>
        <v>#N/A</v>
      </c>
    </row>
    <row r="90" spans="1:3" x14ac:dyDescent="0.3">
      <c r="A90" t="s">
        <v>90</v>
      </c>
      <c r="B90">
        <v>7.5</v>
      </c>
      <c r="C90" t="e">
        <f>VLOOKUP($A90,Sheet2!$A$2:$B$102,2,FALSE)</f>
        <v>#N/A</v>
      </c>
    </row>
    <row r="91" spans="1:3" x14ac:dyDescent="0.3">
      <c r="A91" t="s">
        <v>91</v>
      </c>
      <c r="B91">
        <v>7.5</v>
      </c>
      <c r="C91" t="e">
        <f>VLOOKUP($A91,Sheet2!$A$2:$B$102,2,FALSE)</f>
        <v>#N/A</v>
      </c>
    </row>
    <row r="92" spans="1:3" x14ac:dyDescent="0.3">
      <c r="A92" t="s">
        <v>92</v>
      </c>
      <c r="B92">
        <v>7.4</v>
      </c>
      <c r="C92">
        <f>VLOOKUP($A92,Sheet2!$A$2:$B$102,2,FALSE)</f>
        <v>49.33</v>
      </c>
    </row>
    <row r="93" spans="1:3" x14ac:dyDescent="0.3">
      <c r="A93" t="s">
        <v>93</v>
      </c>
      <c r="B93">
        <v>7.3</v>
      </c>
      <c r="C93" t="e">
        <f>VLOOKUP($A93,Sheet2!$A$2:$B$102,2,FALSE)</f>
        <v>#N/A</v>
      </c>
    </row>
    <row r="94" spans="1:3" x14ac:dyDescent="0.3">
      <c r="A94" t="s">
        <v>94</v>
      </c>
      <c r="B94">
        <v>6.8</v>
      </c>
      <c r="C94">
        <f>VLOOKUP($A94,Sheet2!$A$2:$B$102,2,FALSE)</f>
        <v>36.020000000000003</v>
      </c>
    </row>
    <row r="95" spans="1:3" x14ac:dyDescent="0.3">
      <c r="A95" t="s">
        <v>95</v>
      </c>
      <c r="B95">
        <v>6.8</v>
      </c>
      <c r="C95">
        <f>VLOOKUP($A95,Sheet2!$A$2:$B$102,2,FALSE)</f>
        <v>51.93</v>
      </c>
    </row>
    <row r="96" spans="1:3" x14ac:dyDescent="0.3">
      <c r="A96" t="s">
        <v>96</v>
      </c>
      <c r="B96">
        <v>6.4</v>
      </c>
      <c r="C96" t="e">
        <f>VLOOKUP($A96,Sheet2!$A$2:$B$102,2,FALSE)</f>
        <v>#N/A</v>
      </c>
    </row>
    <row r="97" spans="1:3" x14ac:dyDescent="0.3">
      <c r="A97" t="s">
        <v>97</v>
      </c>
      <c r="B97">
        <v>6.2</v>
      </c>
      <c r="C97">
        <f>VLOOKUP($A97,Sheet2!$A$2:$B$102,2,FALSE)</f>
        <v>39.200000000000003</v>
      </c>
    </row>
    <row r="98" spans="1:3" x14ac:dyDescent="0.3">
      <c r="A98" t="s">
        <v>98</v>
      </c>
      <c r="B98">
        <v>6</v>
      </c>
      <c r="C98" t="e">
        <f>VLOOKUP($A98,Sheet2!$A$2:$B$102,2,FALSE)</f>
        <v>#N/A</v>
      </c>
    </row>
    <row r="99" spans="1:3" x14ac:dyDescent="0.3">
      <c r="A99" t="s">
        <v>99</v>
      </c>
      <c r="B99">
        <v>5.8</v>
      </c>
      <c r="C99" t="e">
        <f>VLOOKUP($A99,Sheet2!$A$2:$B$102,2,FALSE)</f>
        <v>#N/A</v>
      </c>
    </row>
    <row r="100" spans="1:3" x14ac:dyDescent="0.3">
      <c r="A100" t="s">
        <v>100</v>
      </c>
      <c r="B100">
        <v>5.4</v>
      </c>
      <c r="C100" t="e">
        <f>VLOOKUP($A100,Sheet2!$A$2:$B$102,2,FALSE)</f>
        <v>#N/A</v>
      </c>
    </row>
    <row r="101" spans="1:3" x14ac:dyDescent="0.3">
      <c r="A101" t="s">
        <v>101</v>
      </c>
      <c r="B101">
        <v>1.6</v>
      </c>
      <c r="C101" t="e">
        <f>VLOOKUP($A101,Sheet2!$A$2:$B$102,2,FALSE)</f>
        <v>#N/A</v>
      </c>
    </row>
    <row r="102" spans="1:3" x14ac:dyDescent="0.3">
      <c r="A102" t="s">
        <v>102</v>
      </c>
      <c r="C102" t="e">
        <f>VLOOKUP($A102,Sheet2!$A$2:$B$102,2,FALSE)</f>
        <v>#N/A</v>
      </c>
    </row>
    <row r="103" spans="1:3" x14ac:dyDescent="0.3">
      <c r="A103" t="s">
        <v>103</v>
      </c>
      <c r="C103" t="e">
        <f>VLOOKUP($A103,Sheet2!$A$2:$B$102,2,FALSE)</f>
        <v>#N/A</v>
      </c>
    </row>
    <row r="104" spans="1:3" x14ac:dyDescent="0.3">
      <c r="A104" t="s">
        <v>104</v>
      </c>
      <c r="C104">
        <f>VLOOKUP($A104,Sheet2!$A$2:$B$102,2,FALSE)</f>
        <v>55.99</v>
      </c>
    </row>
    <row r="105" spans="1:3" x14ac:dyDescent="0.3">
      <c r="A105" t="s">
        <v>105</v>
      </c>
      <c r="C105">
        <f>VLOOKUP($A105,Sheet2!$A$2:$B$102,2,FALSE)</f>
        <v>44.85</v>
      </c>
    </row>
    <row r="106" spans="1:3" x14ac:dyDescent="0.3">
      <c r="A106" t="s">
        <v>106</v>
      </c>
      <c r="C106" t="e">
        <f>VLOOKUP($A106,Sheet2!$A$2:$B$102,2,FALSE)</f>
        <v>#N/A</v>
      </c>
    </row>
    <row r="107" spans="1:3" x14ac:dyDescent="0.3">
      <c r="A107" t="s">
        <v>107</v>
      </c>
      <c r="C107">
        <f>VLOOKUP($A107,Sheet2!$A$2:$B$102,2,FALSE)</f>
        <v>78.84</v>
      </c>
    </row>
    <row r="108" spans="1:3" x14ac:dyDescent="0.3">
      <c r="A108" t="s">
        <v>108</v>
      </c>
      <c r="C108">
        <f>VLOOKUP($A108,Sheet2!$A$2:$B$102,2,FALSE)</f>
        <v>172.95</v>
      </c>
    </row>
    <row r="109" spans="1:3" x14ac:dyDescent="0.3">
      <c r="A109" t="s">
        <v>109</v>
      </c>
      <c r="C109" t="e">
        <f>VLOOKUP($A109,Sheet2!$A$2:$B$102,2,FALSE)</f>
        <v>#N/A</v>
      </c>
    </row>
    <row r="110" spans="1:3" x14ac:dyDescent="0.3">
      <c r="A110" t="s">
        <v>110</v>
      </c>
      <c r="C110">
        <f>VLOOKUP($A110,Sheet2!$A$2:$B$102,2,FALSE)</f>
        <v>50.46</v>
      </c>
    </row>
    <row r="111" spans="1:3" x14ac:dyDescent="0.3">
      <c r="A111" t="s">
        <v>111</v>
      </c>
      <c r="C111" t="e">
        <f>VLOOKUP($A111,Sheet2!$A$2:$B$102,2,FALSE)</f>
        <v>#N/A</v>
      </c>
    </row>
    <row r="112" spans="1:3" x14ac:dyDescent="0.3">
      <c r="A112" t="s">
        <v>112</v>
      </c>
      <c r="C112">
        <f>VLOOKUP($A112,Sheet2!$A$2:$B$102,2,FALSE)</f>
        <v>78.58</v>
      </c>
    </row>
    <row r="113" spans="1:3" x14ac:dyDescent="0.3">
      <c r="A113" t="s">
        <v>113</v>
      </c>
      <c r="C113" t="e">
        <f>VLOOKUP($A113,Sheet2!$A$2:$B$102,2,FALSE)</f>
        <v>#N/A</v>
      </c>
    </row>
    <row r="114" spans="1:3" x14ac:dyDescent="0.3">
      <c r="A114" t="s">
        <v>114</v>
      </c>
      <c r="C114" t="e">
        <f>VLOOKUP($A114,Sheet2!$A$2:$B$102,2,FALSE)</f>
        <v>#N/A</v>
      </c>
    </row>
    <row r="115" spans="1:3" x14ac:dyDescent="0.3">
      <c r="A115" t="s">
        <v>115</v>
      </c>
      <c r="C115" t="e">
        <f>VLOOKUP($A115,Sheet2!$A$2:$B$102,2,FALSE)</f>
        <v>#N/A</v>
      </c>
    </row>
    <row r="116" spans="1:3" x14ac:dyDescent="0.3">
      <c r="A116" t="s">
        <v>116</v>
      </c>
      <c r="C116" t="e">
        <f>VLOOKUP($A116,Sheet2!$A$2:$B$102,2,FALSE)</f>
        <v>#N/A</v>
      </c>
    </row>
    <row r="117" spans="1:3" x14ac:dyDescent="0.3">
      <c r="A117" t="s">
        <v>117</v>
      </c>
      <c r="C117">
        <f>VLOOKUP($A117,Sheet2!$A$2:$B$102,2,FALSE)</f>
        <v>37.950000000000003</v>
      </c>
    </row>
    <row r="118" spans="1:3" x14ac:dyDescent="0.3">
      <c r="A118" t="s">
        <v>118</v>
      </c>
      <c r="C118">
        <f>VLOOKUP($A118,Sheet2!$A$2:$B$102,2,FALSE)</f>
        <v>54.39</v>
      </c>
    </row>
    <row r="119" spans="1:3" x14ac:dyDescent="0.3">
      <c r="A119" t="s">
        <v>119</v>
      </c>
      <c r="C119">
        <f>VLOOKUP($A119,Sheet2!$A$2:$B$102,2,FALSE)</f>
        <v>128.69</v>
      </c>
    </row>
    <row r="120" spans="1:3" x14ac:dyDescent="0.3">
      <c r="A120" t="s">
        <v>120</v>
      </c>
      <c r="C120" t="e">
        <f>VLOOKUP($A120,Sheet2!$A$2:$B$102,2,FALSE)</f>
        <v>#N/A</v>
      </c>
    </row>
    <row r="121" spans="1:3" x14ac:dyDescent="0.3">
      <c r="A121" t="s">
        <v>121</v>
      </c>
      <c r="C121">
        <f>VLOOKUP($A121,Sheet2!$A$2:$B$102,2,FALSE)</f>
        <v>154.26</v>
      </c>
    </row>
    <row r="122" spans="1:3" x14ac:dyDescent="0.3">
      <c r="A122" t="s">
        <v>122</v>
      </c>
      <c r="C122">
        <f>VLOOKUP($A122,Sheet2!$A$2:$B$102,2,FALSE)</f>
        <v>170.3</v>
      </c>
    </row>
    <row r="123" spans="1:3" x14ac:dyDescent="0.3">
      <c r="A123" t="s">
        <v>123</v>
      </c>
      <c r="C123" t="e">
        <f>VLOOKUP($A123,Sheet2!$A$2:$B$102,2,FALSE)</f>
        <v>#N/A</v>
      </c>
    </row>
    <row r="124" spans="1:3" x14ac:dyDescent="0.3">
      <c r="A124" t="s">
        <v>124</v>
      </c>
      <c r="C124">
        <f>VLOOKUP($A124,Sheet2!$A$2:$B$102,2,FALSE)</f>
        <v>134.47999999999999</v>
      </c>
    </row>
    <row r="125" spans="1:3" x14ac:dyDescent="0.3">
      <c r="A125" t="s">
        <v>125</v>
      </c>
      <c r="C125" t="e">
        <f>VLOOKUP($A125,Sheet2!$A$2:$B$102,2,FALSE)</f>
        <v>#N/A</v>
      </c>
    </row>
    <row r="126" spans="1:3" x14ac:dyDescent="0.3">
      <c r="A126" t="s">
        <v>126</v>
      </c>
      <c r="C126">
        <f>VLOOKUP($A126,Sheet2!$A$2:$B$102,2,FALSE)</f>
        <v>114.01</v>
      </c>
    </row>
    <row r="127" spans="1:3" x14ac:dyDescent="0.3">
      <c r="A127" t="s">
        <v>127</v>
      </c>
      <c r="C127">
        <f>VLOOKUP($A127,Sheet2!$A$2:$B$102,2,FALSE)</f>
        <v>43.67</v>
      </c>
    </row>
    <row r="128" spans="1:3" x14ac:dyDescent="0.3">
      <c r="A128" t="s">
        <v>128</v>
      </c>
      <c r="C128">
        <f>VLOOKUP($A128,Sheet2!$A$2:$B$102,2,FALSE)</f>
        <v>64.44</v>
      </c>
    </row>
    <row r="129" spans="1:3" x14ac:dyDescent="0.3">
      <c r="A129" t="s">
        <v>129</v>
      </c>
      <c r="C129" t="e">
        <f>VLOOKUP($A129,Sheet2!$A$2:$B$102,2,FALSE)</f>
        <v>#N/A</v>
      </c>
    </row>
    <row r="130" spans="1:3" x14ac:dyDescent="0.3">
      <c r="A130" t="s">
        <v>130</v>
      </c>
      <c r="C130" t="e">
        <f>VLOOKUP($A130,Sheet2!$A$2:$B$102,2,FALSE)</f>
        <v>#N/A</v>
      </c>
    </row>
    <row r="131" spans="1:3" x14ac:dyDescent="0.3">
      <c r="A131" t="s">
        <v>131</v>
      </c>
      <c r="C131" t="e">
        <f>VLOOKUP($A131,Sheet2!$A$2:$B$102,2,FALSE)</f>
        <v>#N/A</v>
      </c>
    </row>
    <row r="132" spans="1:3" x14ac:dyDescent="0.3">
      <c r="A132" t="s">
        <v>132</v>
      </c>
      <c r="C132" t="e">
        <f>VLOOKUP($A132,Sheet2!$A$2:$B$102,2,FALSE)</f>
        <v>#N/A</v>
      </c>
    </row>
    <row r="133" spans="1:3" x14ac:dyDescent="0.3">
      <c r="A133" t="s">
        <v>133</v>
      </c>
      <c r="C133" t="e">
        <f>VLOOKUP($A133,Sheet2!$A$2:$B$102,2,FALSE)</f>
        <v>#N/A</v>
      </c>
    </row>
    <row r="134" spans="1:3" x14ac:dyDescent="0.3">
      <c r="A134" t="s">
        <v>134</v>
      </c>
      <c r="C134" t="e">
        <f>VLOOKUP($A134,Sheet2!$A$2:$B$102,2,FALSE)</f>
        <v>#N/A</v>
      </c>
    </row>
    <row r="135" spans="1:3" x14ac:dyDescent="0.3">
      <c r="A135" t="s">
        <v>135</v>
      </c>
      <c r="C135" t="e">
        <f>VLOOKUP($A135,Sheet2!$A$2:$B$102,2,FALSE)</f>
        <v>#N/A</v>
      </c>
    </row>
    <row r="136" spans="1:3" x14ac:dyDescent="0.3">
      <c r="A136" t="s">
        <v>136</v>
      </c>
      <c r="C136" t="e">
        <f>VLOOKUP($A136,Sheet2!$A$2:$B$102,2,FALSE)</f>
        <v>#N/A</v>
      </c>
    </row>
    <row r="137" spans="1:3" x14ac:dyDescent="0.3">
      <c r="A137" t="s">
        <v>137</v>
      </c>
      <c r="C137" t="e">
        <f>VLOOKUP($A137,Sheet2!$A$2:$B$102,2,FALSE)</f>
        <v>#N/A</v>
      </c>
    </row>
    <row r="138" spans="1:3" x14ac:dyDescent="0.3">
      <c r="A138" t="s">
        <v>138</v>
      </c>
      <c r="C138" t="e">
        <f>VLOOKUP($A138,Sheet2!$A$2:$B$102,2,FALSE)</f>
        <v>#N/A</v>
      </c>
    </row>
    <row r="139" spans="1:3" x14ac:dyDescent="0.3">
      <c r="A139" t="s">
        <v>139</v>
      </c>
      <c r="C139">
        <f>VLOOKUP($A139,Sheet2!$A$2:$B$102,2,FALSE)</f>
        <v>79.89</v>
      </c>
    </row>
    <row r="140" spans="1:3" x14ac:dyDescent="0.3">
      <c r="A140" t="s">
        <v>140</v>
      </c>
      <c r="C140" t="e">
        <f>VLOOKUP($A140,Sheet2!$A$2:$B$102,2,FALSE)</f>
        <v>#N/A</v>
      </c>
    </row>
    <row r="141" spans="1:3" x14ac:dyDescent="0.3">
      <c r="A141" t="s">
        <v>141</v>
      </c>
      <c r="C141" t="e">
        <f>VLOOKUP($A141,Sheet2!$A$2:$B$102,2,FALSE)</f>
        <v>#N/A</v>
      </c>
    </row>
    <row r="142" spans="1:3" x14ac:dyDescent="0.3">
      <c r="A142" t="s">
        <v>142</v>
      </c>
      <c r="C142" t="e">
        <f>VLOOKUP($A142,Sheet2!$A$2:$B$102,2,FALSE)</f>
        <v>#N/A</v>
      </c>
    </row>
    <row r="143" spans="1:3" x14ac:dyDescent="0.3">
      <c r="A143" t="s">
        <v>143</v>
      </c>
      <c r="C143" t="e">
        <f>VLOOKUP($A143,Sheet2!$A$2:$B$102,2,FALSE)</f>
        <v>#N/A</v>
      </c>
    </row>
    <row r="144" spans="1:3" x14ac:dyDescent="0.3">
      <c r="A144" t="s">
        <v>144</v>
      </c>
      <c r="C144" t="e">
        <f>VLOOKUP($A144,Sheet2!$A$2:$B$102,2,FALSE)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BB845-34C6-4845-90D9-B7D9D9D1A7A6}">
  <dimension ref="A1:C73"/>
  <sheetViews>
    <sheetView tabSelected="1" workbookViewId="0">
      <selection activeCell="E12" sqref="E12"/>
    </sheetView>
  </sheetViews>
  <sheetFormatPr defaultRowHeight="14.4" x14ac:dyDescent="0.3"/>
  <cols>
    <col min="1" max="1" width="20.5546875" bestFit="1" customWidth="1"/>
    <col min="2" max="2" width="8.44140625" bestFit="1" customWidth="1"/>
    <col min="3" max="3" width="14.5546875" customWidth="1"/>
  </cols>
  <sheetData>
    <row r="1" spans="1:3" ht="43.2" x14ac:dyDescent="0.3">
      <c r="A1" t="s">
        <v>10</v>
      </c>
      <c r="B1" s="1" t="s">
        <v>160</v>
      </c>
      <c r="C1" s="1" t="s">
        <v>161</v>
      </c>
    </row>
    <row r="2" spans="1:3" x14ac:dyDescent="0.3">
      <c r="A2" t="s">
        <v>0</v>
      </c>
      <c r="B2">
        <v>100</v>
      </c>
      <c r="C2">
        <f>VLOOKUP($A2,Sheet2!$A$2:$B$102,2,FALSE)</f>
        <v>77.88</v>
      </c>
    </row>
    <row r="3" spans="1:3" x14ac:dyDescent="0.3">
      <c r="A3" t="s">
        <v>1</v>
      </c>
      <c r="B3">
        <v>59.6</v>
      </c>
      <c r="C3">
        <f>VLOOKUP($A3,Sheet2!$A$2:$B$102,2,FALSE)</f>
        <v>175.61</v>
      </c>
    </row>
    <row r="4" spans="1:3" x14ac:dyDescent="0.3">
      <c r="A4" t="s">
        <v>2</v>
      </c>
      <c r="B4">
        <v>59</v>
      </c>
      <c r="C4">
        <f>VLOOKUP($A4,Sheet2!$A$2:$B$102,2,FALSE)</f>
        <v>241.58</v>
      </c>
    </row>
    <row r="5" spans="1:3" x14ac:dyDescent="0.3">
      <c r="A5" t="s">
        <v>3</v>
      </c>
      <c r="B5">
        <v>54.8</v>
      </c>
      <c r="C5">
        <f>VLOOKUP($A5,Sheet2!$A$2:$B$102,2,FALSE)</f>
        <v>152.94</v>
      </c>
    </row>
    <row r="6" spans="1:3" x14ac:dyDescent="0.3">
      <c r="A6" t="s">
        <v>4</v>
      </c>
      <c r="B6">
        <v>51.4</v>
      </c>
      <c r="C6">
        <f>VLOOKUP($A6,Sheet2!$A$2:$B$102,2,FALSE)</f>
        <v>167.18</v>
      </c>
    </row>
    <row r="7" spans="1:3" x14ac:dyDescent="0.3">
      <c r="A7" t="s">
        <v>5</v>
      </c>
      <c r="B7">
        <v>48.8</v>
      </c>
      <c r="C7">
        <f>VLOOKUP($A7,Sheet2!$A$2:$B$102,2,FALSE)</f>
        <v>159.99</v>
      </c>
    </row>
    <row r="8" spans="1:3" x14ac:dyDescent="0.3">
      <c r="A8" t="s">
        <v>6</v>
      </c>
      <c r="B8">
        <v>47.5</v>
      </c>
      <c r="C8">
        <f>VLOOKUP($A8,Sheet2!$A$2:$B$102,2,FALSE)</f>
        <v>245.5</v>
      </c>
    </row>
    <row r="9" spans="1:3" x14ac:dyDescent="0.3">
      <c r="A9" t="s">
        <v>7</v>
      </c>
      <c r="B9">
        <v>42.8</v>
      </c>
      <c r="C9">
        <f>VLOOKUP($A9,Sheet2!$A$2:$B$102,2,FALSE)</f>
        <v>188.69</v>
      </c>
    </row>
    <row r="10" spans="1:3" x14ac:dyDescent="0.3">
      <c r="A10" t="s">
        <v>8</v>
      </c>
      <c r="B10">
        <v>37.6</v>
      </c>
      <c r="C10">
        <f>VLOOKUP($A10,Sheet2!$A$2:$B$102,2,FALSE)</f>
        <v>107.12</v>
      </c>
    </row>
    <row r="11" spans="1:3" x14ac:dyDescent="0.3">
      <c r="A11" t="s">
        <v>9</v>
      </c>
      <c r="B11">
        <v>36.6</v>
      </c>
      <c r="C11">
        <f>VLOOKUP($A11,Sheet2!$A$2:$B$102,2,FALSE)</f>
        <v>57.3</v>
      </c>
    </row>
    <row r="12" spans="1:3" x14ac:dyDescent="0.3">
      <c r="A12" t="s">
        <v>12</v>
      </c>
      <c r="B12">
        <v>35.200000000000003</v>
      </c>
      <c r="C12">
        <f>VLOOKUP($A12,Sheet2!$A$2:$B$102,2,FALSE)</f>
        <v>153.88</v>
      </c>
    </row>
    <row r="13" spans="1:3" x14ac:dyDescent="0.3">
      <c r="A13" t="s">
        <v>13</v>
      </c>
      <c r="B13">
        <v>34.6</v>
      </c>
      <c r="C13">
        <f>VLOOKUP($A13,Sheet2!$A$2:$B$102,2,FALSE)</f>
        <v>117.31</v>
      </c>
    </row>
    <row r="14" spans="1:3" x14ac:dyDescent="0.3">
      <c r="A14" t="s">
        <v>14</v>
      </c>
      <c r="B14">
        <v>33.5</v>
      </c>
      <c r="C14">
        <f>VLOOKUP($A14,Sheet2!$A$2:$B$102,2,FALSE)</f>
        <v>210.71</v>
      </c>
    </row>
    <row r="15" spans="1:3" x14ac:dyDescent="0.3">
      <c r="A15" t="s">
        <v>15</v>
      </c>
      <c r="B15">
        <v>33.299999999999997</v>
      </c>
      <c r="C15">
        <f>VLOOKUP($A15,Sheet2!$A$2:$B$102,2,FALSE)</f>
        <v>132.66999999999999</v>
      </c>
    </row>
    <row r="16" spans="1:3" x14ac:dyDescent="0.3">
      <c r="A16" t="s">
        <v>16</v>
      </c>
      <c r="B16">
        <v>32.700000000000003</v>
      </c>
      <c r="C16">
        <f>VLOOKUP($A16,Sheet2!$A$2:$B$102,2,FALSE)</f>
        <v>85.89</v>
      </c>
    </row>
    <row r="17" spans="1:3" x14ac:dyDescent="0.3">
      <c r="A17" t="s">
        <v>17</v>
      </c>
      <c r="B17">
        <v>31.8</v>
      </c>
      <c r="C17">
        <f>VLOOKUP($A17,Sheet2!$A$2:$B$102,2,FALSE)</f>
        <v>151.09</v>
      </c>
    </row>
    <row r="18" spans="1:3" x14ac:dyDescent="0.3">
      <c r="A18" t="s">
        <v>18</v>
      </c>
      <c r="B18">
        <v>31.7</v>
      </c>
      <c r="C18">
        <f>VLOOKUP($A18,Sheet2!$A$2:$B$102,2,FALSE)</f>
        <v>193.8</v>
      </c>
    </row>
    <row r="19" spans="1:3" x14ac:dyDescent="0.3">
      <c r="A19" t="s">
        <v>19</v>
      </c>
      <c r="B19">
        <v>31.3</v>
      </c>
      <c r="C19">
        <f>VLOOKUP($A19,Sheet2!$A$2:$B$102,2,FALSE)</f>
        <v>105.2</v>
      </c>
    </row>
    <row r="20" spans="1:3" x14ac:dyDescent="0.3">
      <c r="A20" t="s">
        <v>20</v>
      </c>
      <c r="B20">
        <v>30</v>
      </c>
      <c r="C20">
        <f>VLOOKUP($A20,Sheet2!$A$2:$B$102,2,FALSE)</f>
        <v>37.200000000000003</v>
      </c>
    </row>
    <row r="21" spans="1:3" x14ac:dyDescent="0.3">
      <c r="A21" t="s">
        <v>21</v>
      </c>
      <c r="B21">
        <v>29.8</v>
      </c>
      <c r="C21">
        <f>VLOOKUP($A21,Sheet2!$A$2:$B$102,2,FALSE)</f>
        <v>119.32</v>
      </c>
    </row>
    <row r="22" spans="1:3" x14ac:dyDescent="0.3">
      <c r="A22" t="s">
        <v>22</v>
      </c>
      <c r="B22">
        <v>29.7</v>
      </c>
      <c r="C22">
        <f>VLOOKUP($A22,Sheet2!$A$2:$B$102,2,FALSE)</f>
        <v>169</v>
      </c>
    </row>
    <row r="23" spans="1:3" x14ac:dyDescent="0.3">
      <c r="A23" t="s">
        <v>24</v>
      </c>
      <c r="B23">
        <v>28.7</v>
      </c>
      <c r="C23">
        <f>VLOOKUP($A23,Sheet2!$A$2:$B$102,2,FALSE)</f>
        <v>120.93</v>
      </c>
    </row>
    <row r="24" spans="1:3" x14ac:dyDescent="0.3">
      <c r="A24" t="s">
        <v>25</v>
      </c>
      <c r="B24">
        <v>28.6</v>
      </c>
      <c r="C24">
        <f>VLOOKUP($A24,Sheet2!$A$2:$B$102,2,FALSE)</f>
        <v>192.25</v>
      </c>
    </row>
    <row r="25" spans="1:3" x14ac:dyDescent="0.3">
      <c r="A25" t="s">
        <v>26</v>
      </c>
      <c r="B25">
        <v>26.7</v>
      </c>
      <c r="C25">
        <f>VLOOKUP($A25,Sheet2!$A$2:$B$102,2,FALSE)</f>
        <v>191.97</v>
      </c>
    </row>
    <row r="26" spans="1:3" x14ac:dyDescent="0.3">
      <c r="A26" t="s">
        <v>27</v>
      </c>
      <c r="B26">
        <v>26.3</v>
      </c>
      <c r="C26">
        <f>VLOOKUP($A26,Sheet2!$A$2:$B$102,2,FALSE)</f>
        <v>150.38999999999999</v>
      </c>
    </row>
    <row r="27" spans="1:3" x14ac:dyDescent="0.3">
      <c r="A27" t="s">
        <v>28</v>
      </c>
      <c r="B27">
        <v>26.2</v>
      </c>
      <c r="C27">
        <f>VLOOKUP($A27,Sheet2!$A$2:$B$102,2,FALSE)</f>
        <v>186.4</v>
      </c>
    </row>
    <row r="28" spans="1:3" x14ac:dyDescent="0.3">
      <c r="A28" t="s">
        <v>29</v>
      </c>
      <c r="B28">
        <v>26</v>
      </c>
      <c r="C28">
        <f>VLOOKUP($A28,Sheet2!$A$2:$B$102,2,FALSE)</f>
        <v>108.47</v>
      </c>
    </row>
    <row r="29" spans="1:3" x14ac:dyDescent="0.3">
      <c r="A29" t="s">
        <v>30</v>
      </c>
      <c r="B29">
        <v>25.8</v>
      </c>
      <c r="C29">
        <f>VLOOKUP($A29,Sheet2!$A$2:$B$102,2,FALSE)</f>
        <v>45.25</v>
      </c>
    </row>
    <row r="30" spans="1:3" x14ac:dyDescent="0.3">
      <c r="A30" t="s">
        <v>31</v>
      </c>
      <c r="B30">
        <v>25.3</v>
      </c>
      <c r="C30">
        <f>VLOOKUP($A30,Sheet2!$A$2:$B$102,2,FALSE)</f>
        <v>101.28</v>
      </c>
    </row>
    <row r="31" spans="1:3" x14ac:dyDescent="0.3">
      <c r="A31" t="s">
        <v>32</v>
      </c>
      <c r="B31">
        <v>25.2</v>
      </c>
      <c r="C31">
        <f>VLOOKUP($A31,Sheet2!$A$2:$B$102,2,FALSE)</f>
        <v>57.53</v>
      </c>
    </row>
    <row r="32" spans="1:3" x14ac:dyDescent="0.3">
      <c r="A32" t="s">
        <v>33</v>
      </c>
      <c r="B32">
        <v>25.2</v>
      </c>
      <c r="C32">
        <f>VLOOKUP($A32,Sheet2!$A$2:$B$102,2,FALSE)</f>
        <v>77.88</v>
      </c>
    </row>
    <row r="33" spans="1:3" x14ac:dyDescent="0.3">
      <c r="A33" t="s">
        <v>34</v>
      </c>
      <c r="B33">
        <v>24.3</v>
      </c>
      <c r="C33">
        <f>VLOOKUP($A33,Sheet2!$A$2:$B$102,2,FALSE)</f>
        <v>90.93</v>
      </c>
    </row>
    <row r="34" spans="1:3" x14ac:dyDescent="0.3">
      <c r="A34" t="s">
        <v>36</v>
      </c>
      <c r="B34">
        <v>23.7</v>
      </c>
      <c r="C34">
        <f>VLOOKUP($A34,Sheet2!$A$2:$B$102,2,FALSE)</f>
        <v>36.729999999999997</v>
      </c>
    </row>
    <row r="35" spans="1:3" x14ac:dyDescent="0.3">
      <c r="A35" t="s">
        <v>37</v>
      </c>
      <c r="B35">
        <v>22.9</v>
      </c>
      <c r="C35">
        <f>VLOOKUP($A35,Sheet2!$A$2:$B$102,2,FALSE)</f>
        <v>92.63</v>
      </c>
    </row>
    <row r="36" spans="1:3" x14ac:dyDescent="0.3">
      <c r="A36" t="s">
        <v>38</v>
      </c>
      <c r="B36">
        <v>21.8</v>
      </c>
      <c r="C36">
        <f>VLOOKUP($A36,Sheet2!$A$2:$B$102,2,FALSE)</f>
        <v>240.83</v>
      </c>
    </row>
    <row r="37" spans="1:3" x14ac:dyDescent="0.3">
      <c r="A37" t="s">
        <v>39</v>
      </c>
      <c r="B37">
        <v>21.4</v>
      </c>
      <c r="C37">
        <f>VLOOKUP($A37,Sheet2!$A$2:$B$102,2,FALSE)</f>
        <v>214.33</v>
      </c>
    </row>
    <row r="38" spans="1:3" x14ac:dyDescent="0.3">
      <c r="A38" t="s">
        <v>40</v>
      </c>
      <c r="B38">
        <v>21.4</v>
      </c>
      <c r="C38">
        <f>VLOOKUP($A38,Sheet2!$A$2:$B$102,2,FALSE)</f>
        <v>90.24</v>
      </c>
    </row>
    <row r="39" spans="1:3" x14ac:dyDescent="0.3">
      <c r="A39" t="s">
        <v>41</v>
      </c>
      <c r="B39">
        <v>20.7</v>
      </c>
      <c r="C39">
        <f>VLOOKUP($A39,Sheet2!$A$2:$B$102,2,FALSE)</f>
        <v>130.97999999999999</v>
      </c>
    </row>
    <row r="40" spans="1:3" x14ac:dyDescent="0.3">
      <c r="A40" t="s">
        <v>42</v>
      </c>
      <c r="B40">
        <v>20.6</v>
      </c>
      <c r="C40">
        <f>VLOOKUP($A40,Sheet2!$A$2:$B$102,2,FALSE)</f>
        <v>66.38</v>
      </c>
    </row>
    <row r="41" spans="1:3" x14ac:dyDescent="0.3">
      <c r="A41" t="s">
        <v>43</v>
      </c>
      <c r="B41">
        <v>20.3</v>
      </c>
      <c r="C41">
        <f>VLOOKUP($A41,Sheet2!$A$2:$B$102,2,FALSE)</f>
        <v>53.88</v>
      </c>
    </row>
    <row r="42" spans="1:3" x14ac:dyDescent="0.3">
      <c r="A42" t="s">
        <v>44</v>
      </c>
      <c r="B42">
        <v>20</v>
      </c>
      <c r="C42">
        <f>VLOOKUP($A42,Sheet2!$A$2:$B$102,2,FALSE)</f>
        <v>62.52</v>
      </c>
    </row>
    <row r="43" spans="1:3" x14ac:dyDescent="0.3">
      <c r="A43" t="s">
        <v>45</v>
      </c>
      <c r="B43">
        <v>19.600000000000001</v>
      </c>
      <c r="C43">
        <f>VLOOKUP($A43,Sheet2!$A$2:$B$102,2,FALSE)</f>
        <v>48.35</v>
      </c>
    </row>
    <row r="44" spans="1:3" x14ac:dyDescent="0.3">
      <c r="A44" t="s">
        <v>47</v>
      </c>
      <c r="B44">
        <v>19.2</v>
      </c>
      <c r="C44">
        <f>VLOOKUP($A44,Sheet2!$A$2:$B$102,2,FALSE)</f>
        <v>112.81</v>
      </c>
    </row>
    <row r="45" spans="1:3" x14ac:dyDescent="0.3">
      <c r="A45" t="s">
        <v>48</v>
      </c>
      <c r="B45">
        <v>19.100000000000001</v>
      </c>
      <c r="C45">
        <f>VLOOKUP($A45,Sheet2!$A$2:$B$102,2,FALSE)</f>
        <v>43.91</v>
      </c>
    </row>
    <row r="46" spans="1:3" x14ac:dyDescent="0.3">
      <c r="A46" t="s">
        <v>51</v>
      </c>
      <c r="B46">
        <v>17.399999999999999</v>
      </c>
      <c r="C46">
        <f>VLOOKUP($A46,Sheet2!$A$2:$B$102,2,FALSE)</f>
        <v>51.51</v>
      </c>
    </row>
    <row r="47" spans="1:3" x14ac:dyDescent="0.3">
      <c r="A47" t="s">
        <v>53</v>
      </c>
      <c r="B47">
        <v>17.100000000000001</v>
      </c>
      <c r="C47">
        <f>VLOOKUP($A47,Sheet2!$A$2:$B$102,2,FALSE)</f>
        <v>43.98</v>
      </c>
    </row>
    <row r="48" spans="1:3" x14ac:dyDescent="0.3">
      <c r="A48" t="s">
        <v>54</v>
      </c>
      <c r="B48">
        <v>16.600000000000001</v>
      </c>
      <c r="C48">
        <f>VLOOKUP($A48,Sheet2!$A$2:$B$102,2,FALSE)</f>
        <v>130.66</v>
      </c>
    </row>
    <row r="49" spans="1:3" x14ac:dyDescent="0.3">
      <c r="A49" t="s">
        <v>55</v>
      </c>
      <c r="B49">
        <v>16.399999999999999</v>
      </c>
      <c r="C49">
        <f>VLOOKUP($A49,Sheet2!$A$2:$B$102,2,FALSE)</f>
        <v>58.53</v>
      </c>
    </row>
    <row r="50" spans="1:3" x14ac:dyDescent="0.3">
      <c r="A50" t="s">
        <v>59</v>
      </c>
      <c r="B50">
        <v>15.3</v>
      </c>
      <c r="C50">
        <f>VLOOKUP($A50,Sheet2!$A$2:$B$102,2,FALSE)</f>
        <v>90.3</v>
      </c>
    </row>
    <row r="51" spans="1:3" x14ac:dyDescent="0.3">
      <c r="A51" t="s">
        <v>60</v>
      </c>
      <c r="B51">
        <v>15.2</v>
      </c>
      <c r="C51">
        <f>VLOOKUP($A51,Sheet2!$A$2:$B$102,2,FALSE)</f>
        <v>147.36000000000001</v>
      </c>
    </row>
    <row r="52" spans="1:3" x14ac:dyDescent="0.3">
      <c r="A52" t="s">
        <v>62</v>
      </c>
      <c r="B52">
        <v>14.5</v>
      </c>
      <c r="C52">
        <f>VLOOKUP($A52,Sheet2!$A$2:$B$102,2,FALSE)</f>
        <v>87.01</v>
      </c>
    </row>
    <row r="53" spans="1:3" x14ac:dyDescent="0.3">
      <c r="A53" t="s">
        <v>63</v>
      </c>
      <c r="B53">
        <v>14</v>
      </c>
      <c r="C53">
        <f>VLOOKUP($A53,Sheet2!$A$2:$B$102,2,FALSE)</f>
        <v>47.93</v>
      </c>
    </row>
    <row r="54" spans="1:3" x14ac:dyDescent="0.3">
      <c r="A54" t="s">
        <v>64</v>
      </c>
      <c r="B54">
        <v>14</v>
      </c>
      <c r="C54">
        <f>VLOOKUP($A54,Sheet2!$A$2:$B$102,2,FALSE)</f>
        <v>67.52</v>
      </c>
    </row>
    <row r="55" spans="1:3" x14ac:dyDescent="0.3">
      <c r="A55" t="s">
        <v>65</v>
      </c>
      <c r="B55">
        <v>13.7</v>
      </c>
      <c r="C55">
        <f>VLOOKUP($A55,Sheet2!$A$2:$B$102,2,FALSE)</f>
        <v>176.48</v>
      </c>
    </row>
    <row r="56" spans="1:3" x14ac:dyDescent="0.3">
      <c r="A56" t="s">
        <v>67</v>
      </c>
      <c r="B56">
        <v>13.4</v>
      </c>
      <c r="C56">
        <f>VLOOKUP($A56,Sheet2!$A$2:$B$102,2,FALSE)</f>
        <v>53.73</v>
      </c>
    </row>
    <row r="57" spans="1:3" x14ac:dyDescent="0.3">
      <c r="A57" t="s">
        <v>70</v>
      </c>
      <c r="B57">
        <v>12.5</v>
      </c>
      <c r="C57">
        <f>VLOOKUP($A57,Sheet2!$A$2:$B$102,2,FALSE)</f>
        <v>67.349999999999994</v>
      </c>
    </row>
    <row r="58" spans="1:3" x14ac:dyDescent="0.3">
      <c r="A58" t="s">
        <v>71</v>
      </c>
      <c r="B58">
        <v>12.1</v>
      </c>
      <c r="C58">
        <f>VLOOKUP($A58,Sheet2!$A$2:$B$102,2,FALSE)</f>
        <v>51.81</v>
      </c>
    </row>
    <row r="59" spans="1:3" x14ac:dyDescent="0.3">
      <c r="A59" t="s">
        <v>73</v>
      </c>
      <c r="B59">
        <v>11.9</v>
      </c>
      <c r="C59">
        <f>VLOOKUP($A59,Sheet2!$A$2:$B$102,2,FALSE)</f>
        <v>56.12</v>
      </c>
    </row>
    <row r="60" spans="1:3" x14ac:dyDescent="0.3">
      <c r="A60" t="s">
        <v>75</v>
      </c>
      <c r="B60">
        <v>11</v>
      </c>
      <c r="C60">
        <f>VLOOKUP($A60,Sheet2!$A$2:$B$102,2,FALSE)</f>
        <v>103.34</v>
      </c>
    </row>
    <row r="61" spans="1:3" x14ac:dyDescent="0.3">
      <c r="A61" t="s">
        <v>77</v>
      </c>
      <c r="B61">
        <v>10.8</v>
      </c>
      <c r="C61">
        <f>VLOOKUP($A61,Sheet2!$A$2:$B$102,2,FALSE)</f>
        <v>68.73</v>
      </c>
    </row>
    <row r="62" spans="1:3" x14ac:dyDescent="0.3">
      <c r="A62" t="s">
        <v>78</v>
      </c>
      <c r="B62">
        <v>10.8</v>
      </c>
      <c r="C62">
        <f>VLOOKUP($A62,Sheet2!$A$2:$B$102,2,FALSE)</f>
        <v>56.89</v>
      </c>
    </row>
    <row r="63" spans="1:3" x14ac:dyDescent="0.3">
      <c r="A63" t="s">
        <v>79</v>
      </c>
      <c r="B63">
        <v>10.7</v>
      </c>
      <c r="C63">
        <f>VLOOKUP($A63,Sheet2!$A$2:$B$102,2,FALSE)</f>
        <v>39.659999999999997</v>
      </c>
    </row>
    <row r="64" spans="1:3" x14ac:dyDescent="0.3">
      <c r="A64" t="s">
        <v>80</v>
      </c>
      <c r="B64">
        <v>10.5</v>
      </c>
      <c r="C64">
        <f>VLOOKUP($A64,Sheet2!$A$2:$B$102,2,FALSE)</f>
        <v>48.12</v>
      </c>
    </row>
    <row r="65" spans="1:3" x14ac:dyDescent="0.3">
      <c r="A65" t="s">
        <v>83</v>
      </c>
      <c r="B65">
        <v>9.1999999999999993</v>
      </c>
      <c r="C65">
        <f>VLOOKUP($A65,Sheet2!$A$2:$B$102,2,FALSE)</f>
        <v>206.81</v>
      </c>
    </row>
    <row r="66" spans="1:3" x14ac:dyDescent="0.3">
      <c r="A66" t="s">
        <v>84</v>
      </c>
      <c r="B66">
        <v>9.1</v>
      </c>
      <c r="C66">
        <f>VLOOKUP($A66,Sheet2!$A$2:$B$102,2,FALSE)</f>
        <v>35.32</v>
      </c>
    </row>
    <row r="67" spans="1:3" x14ac:dyDescent="0.3">
      <c r="A67" t="s">
        <v>85</v>
      </c>
      <c r="B67">
        <v>8.5</v>
      </c>
      <c r="C67">
        <f>VLOOKUP($A67,Sheet2!$A$2:$B$102,2,FALSE)</f>
        <v>49.31</v>
      </c>
    </row>
    <row r="68" spans="1:3" x14ac:dyDescent="0.3">
      <c r="A68" t="s">
        <v>87</v>
      </c>
      <c r="B68">
        <v>8.4</v>
      </c>
      <c r="C68">
        <f>VLOOKUP($A68,Sheet2!$A$2:$B$102,2,FALSE)</f>
        <v>125.25</v>
      </c>
    </row>
    <row r="69" spans="1:3" x14ac:dyDescent="0.3">
      <c r="A69" t="s">
        <v>88</v>
      </c>
      <c r="B69">
        <v>8.1</v>
      </c>
      <c r="C69">
        <f>VLOOKUP($A69,Sheet2!$A$2:$B$102,2,FALSE)</f>
        <v>55.72</v>
      </c>
    </row>
    <row r="70" spans="1:3" x14ac:dyDescent="0.3">
      <c r="A70" t="s">
        <v>92</v>
      </c>
      <c r="B70">
        <v>7.4</v>
      </c>
      <c r="C70">
        <f>VLOOKUP($A70,Sheet2!$A$2:$B$102,2,FALSE)</f>
        <v>49.33</v>
      </c>
    </row>
    <row r="71" spans="1:3" x14ac:dyDescent="0.3">
      <c r="A71" t="s">
        <v>94</v>
      </c>
      <c r="B71">
        <v>6.8</v>
      </c>
      <c r="C71">
        <f>VLOOKUP($A71,Sheet2!$A$2:$B$102,2,FALSE)</f>
        <v>36.020000000000003</v>
      </c>
    </row>
    <row r="72" spans="1:3" x14ac:dyDescent="0.3">
      <c r="A72" t="s">
        <v>95</v>
      </c>
      <c r="B72">
        <v>6.8</v>
      </c>
      <c r="C72">
        <f>VLOOKUP($A72,Sheet2!$A$2:$B$102,2,FALSE)</f>
        <v>51.93</v>
      </c>
    </row>
    <row r="73" spans="1:3" x14ac:dyDescent="0.3">
      <c r="A73" t="s">
        <v>97</v>
      </c>
      <c r="B73">
        <v>6.2</v>
      </c>
      <c r="C73">
        <f>VLOOKUP($A73,Sheet2!$A$2:$B$102,2,FALSE)</f>
        <v>39.200000000000003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832A8-3DDA-4DD0-B0F8-3AD653E57555}">
  <dimension ref="A1:B102"/>
  <sheetViews>
    <sheetView topLeftCell="A76" workbookViewId="0">
      <selection activeCell="B102" sqref="B102"/>
    </sheetView>
  </sheetViews>
  <sheetFormatPr defaultRowHeight="14.4" x14ac:dyDescent="0.3"/>
  <cols>
    <col min="1" max="1" width="28.109375" bestFit="1" customWidth="1"/>
    <col min="2" max="2" width="33.33203125" bestFit="1" customWidth="1"/>
  </cols>
  <sheetData>
    <row r="1" spans="1:2" x14ac:dyDescent="0.3">
      <c r="A1" t="s">
        <v>10</v>
      </c>
      <c r="B1" t="s">
        <v>158</v>
      </c>
    </row>
    <row r="2" spans="1:2" x14ac:dyDescent="0.3">
      <c r="A2" t="s">
        <v>30</v>
      </c>
      <c r="B2">
        <v>45.25</v>
      </c>
    </row>
    <row r="3" spans="1:2" x14ac:dyDescent="0.3">
      <c r="A3" t="s">
        <v>145</v>
      </c>
      <c r="B3">
        <v>191.23</v>
      </c>
    </row>
    <row r="4" spans="1:2" x14ac:dyDescent="0.3">
      <c r="A4" t="s">
        <v>51</v>
      </c>
      <c r="B4">
        <v>51.51</v>
      </c>
    </row>
    <row r="5" spans="1:2" x14ac:dyDescent="0.3">
      <c r="A5" t="s">
        <v>0</v>
      </c>
      <c r="B5">
        <v>77.88</v>
      </c>
    </row>
    <row r="6" spans="1:2" x14ac:dyDescent="0.3">
      <c r="A6" t="s">
        <v>13</v>
      </c>
      <c r="B6">
        <v>117.31</v>
      </c>
    </row>
    <row r="7" spans="1:2" x14ac:dyDescent="0.3">
      <c r="A7" t="s">
        <v>104</v>
      </c>
      <c r="B7">
        <v>55.99</v>
      </c>
    </row>
    <row r="8" spans="1:2" x14ac:dyDescent="0.3">
      <c r="A8" t="s">
        <v>55</v>
      </c>
      <c r="B8">
        <v>58.53</v>
      </c>
    </row>
    <row r="9" spans="1:2" x14ac:dyDescent="0.3">
      <c r="A9" t="s">
        <v>94</v>
      </c>
      <c r="B9">
        <v>36.020000000000003</v>
      </c>
    </row>
    <row r="10" spans="1:2" x14ac:dyDescent="0.3">
      <c r="A10" t="s">
        <v>146</v>
      </c>
      <c r="B10">
        <v>105.71</v>
      </c>
    </row>
    <row r="11" spans="1:2" x14ac:dyDescent="0.3">
      <c r="A11" t="s">
        <v>77</v>
      </c>
      <c r="B11">
        <v>68.73</v>
      </c>
    </row>
    <row r="12" spans="1:2" x14ac:dyDescent="0.3">
      <c r="A12" t="s">
        <v>8</v>
      </c>
      <c r="B12">
        <v>107.12</v>
      </c>
    </row>
    <row r="13" spans="1:2" x14ac:dyDescent="0.3">
      <c r="A13" t="s">
        <v>147</v>
      </c>
      <c r="B13">
        <v>49.44</v>
      </c>
    </row>
    <row r="14" spans="1:2" x14ac:dyDescent="0.3">
      <c r="A14" t="s">
        <v>105</v>
      </c>
      <c r="B14">
        <v>44.85</v>
      </c>
    </row>
    <row r="15" spans="1:2" x14ac:dyDescent="0.3">
      <c r="A15" t="s">
        <v>59</v>
      </c>
      <c r="B15">
        <v>90.3</v>
      </c>
    </row>
    <row r="16" spans="1:2" x14ac:dyDescent="0.3">
      <c r="A16" t="s">
        <v>107</v>
      </c>
      <c r="B16">
        <v>78.84</v>
      </c>
    </row>
    <row r="17" spans="1:2" x14ac:dyDescent="0.3">
      <c r="A17" t="s">
        <v>1</v>
      </c>
      <c r="B17">
        <v>175.61</v>
      </c>
    </row>
    <row r="18" spans="1:2" x14ac:dyDescent="0.3">
      <c r="A18" t="s">
        <v>65</v>
      </c>
      <c r="B18">
        <v>176.48</v>
      </c>
    </row>
    <row r="19" spans="1:2" x14ac:dyDescent="0.3">
      <c r="A19" t="s">
        <v>108</v>
      </c>
      <c r="B19">
        <v>172.95</v>
      </c>
    </row>
    <row r="20" spans="1:2" x14ac:dyDescent="0.3">
      <c r="A20" t="s">
        <v>67</v>
      </c>
      <c r="B20">
        <v>53.73</v>
      </c>
    </row>
    <row r="21" spans="1:2" x14ac:dyDescent="0.3">
      <c r="A21" t="s">
        <v>63</v>
      </c>
      <c r="B21">
        <v>47.93</v>
      </c>
    </row>
    <row r="22" spans="1:2" x14ac:dyDescent="0.3">
      <c r="A22" t="s">
        <v>9</v>
      </c>
      <c r="B22">
        <v>57.3</v>
      </c>
    </row>
    <row r="23" spans="1:2" x14ac:dyDescent="0.3">
      <c r="A23" t="s">
        <v>110</v>
      </c>
      <c r="B23">
        <v>50.46</v>
      </c>
    </row>
    <row r="24" spans="1:2" x14ac:dyDescent="0.3">
      <c r="A24" t="s">
        <v>16</v>
      </c>
      <c r="B24">
        <v>85.89</v>
      </c>
    </row>
    <row r="25" spans="1:2" x14ac:dyDescent="0.3">
      <c r="A25" t="s">
        <v>14</v>
      </c>
      <c r="B25">
        <v>210.71</v>
      </c>
    </row>
    <row r="26" spans="1:2" x14ac:dyDescent="0.3">
      <c r="A26" t="s">
        <v>148</v>
      </c>
      <c r="B26">
        <v>37.619999999999997</v>
      </c>
    </row>
    <row r="27" spans="1:2" x14ac:dyDescent="0.3">
      <c r="A27" t="s">
        <v>79</v>
      </c>
      <c r="B27">
        <v>39.659999999999997</v>
      </c>
    </row>
    <row r="28" spans="1:2" x14ac:dyDescent="0.3">
      <c r="A28" t="s">
        <v>112</v>
      </c>
      <c r="B28">
        <v>78.58</v>
      </c>
    </row>
    <row r="29" spans="1:2" x14ac:dyDescent="0.3">
      <c r="A29" t="s">
        <v>21</v>
      </c>
      <c r="B29">
        <v>119.32</v>
      </c>
    </row>
    <row r="30" spans="1:2" x14ac:dyDescent="0.3">
      <c r="A30" t="s">
        <v>25</v>
      </c>
      <c r="B30">
        <v>192.25</v>
      </c>
    </row>
    <row r="31" spans="1:2" x14ac:dyDescent="0.3">
      <c r="A31" t="s">
        <v>24</v>
      </c>
      <c r="B31">
        <v>120.93</v>
      </c>
    </row>
    <row r="32" spans="1:2" x14ac:dyDescent="0.3">
      <c r="A32" t="s">
        <v>95</v>
      </c>
      <c r="B32">
        <v>51.93</v>
      </c>
    </row>
    <row r="33" spans="1:2" x14ac:dyDescent="0.3">
      <c r="A33" t="s">
        <v>36</v>
      </c>
      <c r="B33">
        <v>36.729999999999997</v>
      </c>
    </row>
    <row r="34" spans="1:2" x14ac:dyDescent="0.3">
      <c r="A34" t="s">
        <v>149</v>
      </c>
      <c r="B34">
        <v>54.65</v>
      </c>
    </row>
    <row r="35" spans="1:2" x14ac:dyDescent="0.3">
      <c r="A35" t="s">
        <v>150</v>
      </c>
      <c r="B35">
        <v>45.37</v>
      </c>
    </row>
    <row r="36" spans="1:2" x14ac:dyDescent="0.3">
      <c r="A36" t="s">
        <v>38</v>
      </c>
      <c r="B36">
        <v>240.83</v>
      </c>
    </row>
    <row r="37" spans="1:2" x14ac:dyDescent="0.3">
      <c r="A37" t="s">
        <v>18</v>
      </c>
      <c r="B37">
        <v>193.8</v>
      </c>
    </row>
    <row r="38" spans="1:2" x14ac:dyDescent="0.3">
      <c r="A38" t="s">
        <v>88</v>
      </c>
      <c r="B38">
        <v>55.72</v>
      </c>
    </row>
    <row r="39" spans="1:2" x14ac:dyDescent="0.3">
      <c r="A39" t="s">
        <v>47</v>
      </c>
      <c r="B39">
        <v>112.81</v>
      </c>
    </row>
    <row r="40" spans="1:2" x14ac:dyDescent="0.3">
      <c r="A40" t="s">
        <v>60</v>
      </c>
      <c r="B40">
        <v>147.36000000000001</v>
      </c>
    </row>
    <row r="41" spans="1:2" x14ac:dyDescent="0.3">
      <c r="A41" t="s">
        <v>34</v>
      </c>
      <c r="B41">
        <v>90.93</v>
      </c>
    </row>
    <row r="42" spans="1:2" x14ac:dyDescent="0.3">
      <c r="A42" t="s">
        <v>92</v>
      </c>
      <c r="B42">
        <v>49.33</v>
      </c>
    </row>
    <row r="43" spans="1:2" x14ac:dyDescent="0.3">
      <c r="A43" t="s">
        <v>117</v>
      </c>
      <c r="B43">
        <v>37.950000000000003</v>
      </c>
    </row>
    <row r="44" spans="1:2" x14ac:dyDescent="0.3">
      <c r="A44" t="s">
        <v>4</v>
      </c>
      <c r="B44">
        <v>167.18</v>
      </c>
    </row>
    <row r="45" spans="1:2" x14ac:dyDescent="0.3">
      <c r="A45" t="s">
        <v>70</v>
      </c>
      <c r="B45">
        <v>67.349999999999994</v>
      </c>
    </row>
    <row r="46" spans="1:2" x14ac:dyDescent="0.3">
      <c r="A46" t="s">
        <v>73</v>
      </c>
      <c r="B46">
        <v>56.12</v>
      </c>
    </row>
    <row r="47" spans="1:2" x14ac:dyDescent="0.3">
      <c r="A47" t="s">
        <v>118</v>
      </c>
      <c r="B47">
        <v>54.39</v>
      </c>
    </row>
    <row r="48" spans="1:2" x14ac:dyDescent="0.3">
      <c r="A48" t="s">
        <v>54</v>
      </c>
      <c r="B48">
        <v>130.66</v>
      </c>
    </row>
    <row r="49" spans="1:2" x14ac:dyDescent="0.3">
      <c r="A49" t="s">
        <v>80</v>
      </c>
      <c r="B49">
        <v>48.12</v>
      </c>
    </row>
    <row r="50" spans="1:2" x14ac:dyDescent="0.3">
      <c r="A50" t="s">
        <v>53</v>
      </c>
      <c r="B50">
        <v>43.98</v>
      </c>
    </row>
    <row r="51" spans="1:2" x14ac:dyDescent="0.3">
      <c r="A51" t="s">
        <v>119</v>
      </c>
      <c r="B51">
        <v>128.69</v>
      </c>
    </row>
    <row r="52" spans="1:2" x14ac:dyDescent="0.3">
      <c r="A52" t="s">
        <v>151</v>
      </c>
      <c r="B52">
        <v>193.79</v>
      </c>
    </row>
    <row r="53" spans="1:2" x14ac:dyDescent="0.3">
      <c r="A53" t="s">
        <v>15</v>
      </c>
      <c r="B53">
        <v>132.66999999999999</v>
      </c>
    </row>
    <row r="54" spans="1:2" x14ac:dyDescent="0.3">
      <c r="A54" t="s">
        <v>121</v>
      </c>
      <c r="B54">
        <v>154.26</v>
      </c>
    </row>
    <row r="55" spans="1:2" x14ac:dyDescent="0.3">
      <c r="A55" t="s">
        <v>122</v>
      </c>
      <c r="B55">
        <v>170.3</v>
      </c>
    </row>
    <row r="56" spans="1:2" x14ac:dyDescent="0.3">
      <c r="A56" t="s">
        <v>152</v>
      </c>
      <c r="B56">
        <v>41.4</v>
      </c>
    </row>
    <row r="57" spans="1:2" x14ac:dyDescent="0.3">
      <c r="A57" t="s">
        <v>75</v>
      </c>
      <c r="B57">
        <v>103.34</v>
      </c>
    </row>
    <row r="58" spans="1:2" x14ac:dyDescent="0.3">
      <c r="A58" t="s">
        <v>124</v>
      </c>
      <c r="B58">
        <v>134.47999999999999</v>
      </c>
    </row>
    <row r="59" spans="1:2" x14ac:dyDescent="0.3">
      <c r="A59" t="s">
        <v>45</v>
      </c>
      <c r="B59">
        <v>48.35</v>
      </c>
    </row>
    <row r="60" spans="1:2" x14ac:dyDescent="0.3">
      <c r="A60" t="s">
        <v>126</v>
      </c>
      <c r="B60">
        <v>114.01</v>
      </c>
    </row>
    <row r="61" spans="1:2" x14ac:dyDescent="0.3">
      <c r="A61" t="s">
        <v>153</v>
      </c>
      <c r="B61">
        <v>220.35</v>
      </c>
    </row>
    <row r="62" spans="1:2" x14ac:dyDescent="0.3">
      <c r="A62" t="s">
        <v>127</v>
      </c>
      <c r="B62">
        <v>43.67</v>
      </c>
    </row>
    <row r="63" spans="1:2" x14ac:dyDescent="0.3">
      <c r="A63" t="s">
        <v>128</v>
      </c>
      <c r="B63">
        <v>64.44</v>
      </c>
    </row>
    <row r="64" spans="1:2" x14ac:dyDescent="0.3">
      <c r="A64" t="s">
        <v>3</v>
      </c>
      <c r="B64">
        <v>152.94</v>
      </c>
    </row>
    <row r="65" spans="1:2" x14ac:dyDescent="0.3">
      <c r="A65" t="s">
        <v>12</v>
      </c>
      <c r="B65">
        <v>153.88</v>
      </c>
    </row>
    <row r="66" spans="1:2" x14ac:dyDescent="0.3">
      <c r="A66" t="s">
        <v>20</v>
      </c>
      <c r="B66">
        <v>37.200000000000003</v>
      </c>
    </row>
    <row r="67" spans="1:2" x14ac:dyDescent="0.3">
      <c r="A67" t="s">
        <v>5</v>
      </c>
      <c r="B67">
        <v>159.99</v>
      </c>
    </row>
    <row r="68" spans="1:2" x14ac:dyDescent="0.3">
      <c r="A68" t="s">
        <v>32</v>
      </c>
      <c r="B68">
        <v>57.53</v>
      </c>
    </row>
    <row r="69" spans="1:2" x14ac:dyDescent="0.3">
      <c r="A69" t="s">
        <v>87</v>
      </c>
      <c r="B69">
        <v>125.25</v>
      </c>
    </row>
    <row r="70" spans="1:2" x14ac:dyDescent="0.3">
      <c r="A70" t="s">
        <v>78</v>
      </c>
      <c r="B70">
        <v>56.89</v>
      </c>
    </row>
    <row r="71" spans="1:2" x14ac:dyDescent="0.3">
      <c r="A71" t="s">
        <v>71</v>
      </c>
      <c r="B71">
        <v>51.81</v>
      </c>
    </row>
    <row r="72" spans="1:2" x14ac:dyDescent="0.3">
      <c r="A72" t="s">
        <v>85</v>
      </c>
      <c r="B72">
        <v>49.31</v>
      </c>
    </row>
    <row r="73" spans="1:2" x14ac:dyDescent="0.3">
      <c r="A73" t="s">
        <v>41</v>
      </c>
      <c r="B73">
        <v>130.97999999999999</v>
      </c>
    </row>
    <row r="74" spans="1:2" x14ac:dyDescent="0.3">
      <c r="A74" t="s">
        <v>27</v>
      </c>
      <c r="B74">
        <v>150.38999999999999</v>
      </c>
    </row>
    <row r="75" spans="1:2" x14ac:dyDescent="0.3">
      <c r="A75" t="s">
        <v>19</v>
      </c>
      <c r="B75">
        <v>105.2</v>
      </c>
    </row>
    <row r="76" spans="1:2" x14ac:dyDescent="0.3">
      <c r="A76" t="s">
        <v>154</v>
      </c>
      <c r="B76">
        <v>163.85</v>
      </c>
    </row>
    <row r="77" spans="1:2" x14ac:dyDescent="0.3">
      <c r="A77" t="s">
        <v>39</v>
      </c>
      <c r="B77">
        <v>214.33</v>
      </c>
    </row>
    <row r="78" spans="1:2" x14ac:dyDescent="0.3">
      <c r="A78" t="s">
        <v>62</v>
      </c>
      <c r="B78">
        <v>87.01</v>
      </c>
    </row>
    <row r="79" spans="1:2" x14ac:dyDescent="0.3">
      <c r="A79" t="s">
        <v>155</v>
      </c>
      <c r="B79">
        <v>45.66</v>
      </c>
    </row>
    <row r="80" spans="1:2" x14ac:dyDescent="0.3">
      <c r="A80" t="s">
        <v>156</v>
      </c>
      <c r="B80">
        <v>46.51</v>
      </c>
    </row>
    <row r="81" spans="1:2" x14ac:dyDescent="0.3">
      <c r="A81" t="s">
        <v>157</v>
      </c>
      <c r="B81">
        <v>115.27</v>
      </c>
    </row>
    <row r="82" spans="1:2" x14ac:dyDescent="0.3">
      <c r="A82" t="s">
        <v>40</v>
      </c>
      <c r="B82">
        <v>90.24</v>
      </c>
    </row>
    <row r="83" spans="1:2" x14ac:dyDescent="0.3">
      <c r="A83" t="s">
        <v>84</v>
      </c>
      <c r="B83">
        <v>35.32</v>
      </c>
    </row>
    <row r="84" spans="1:2" x14ac:dyDescent="0.3">
      <c r="A84" t="s">
        <v>33</v>
      </c>
      <c r="B84">
        <v>77.88</v>
      </c>
    </row>
    <row r="85" spans="1:2" x14ac:dyDescent="0.3">
      <c r="A85" t="s">
        <v>6</v>
      </c>
      <c r="B85">
        <v>245.5</v>
      </c>
    </row>
    <row r="86" spans="1:2" x14ac:dyDescent="0.3">
      <c r="A86" t="s">
        <v>31</v>
      </c>
      <c r="B86">
        <v>101.28</v>
      </c>
    </row>
    <row r="87" spans="1:2" x14ac:dyDescent="0.3">
      <c r="A87" t="s">
        <v>29</v>
      </c>
      <c r="B87">
        <v>108.47</v>
      </c>
    </row>
    <row r="88" spans="1:2" x14ac:dyDescent="0.3">
      <c r="A88" t="s">
        <v>48</v>
      </c>
      <c r="B88">
        <v>43.91</v>
      </c>
    </row>
    <row r="89" spans="1:2" x14ac:dyDescent="0.3">
      <c r="A89" t="s">
        <v>2</v>
      </c>
      <c r="B89">
        <v>241.58</v>
      </c>
    </row>
    <row r="90" spans="1:2" x14ac:dyDescent="0.3">
      <c r="A90" t="s">
        <v>28</v>
      </c>
      <c r="B90">
        <v>186.4</v>
      </c>
    </row>
    <row r="91" spans="1:2" x14ac:dyDescent="0.3">
      <c r="A91" t="s">
        <v>22</v>
      </c>
      <c r="B91">
        <v>169</v>
      </c>
    </row>
    <row r="92" spans="1:2" x14ac:dyDescent="0.3">
      <c r="A92" t="s">
        <v>7</v>
      </c>
      <c r="B92">
        <v>188.69</v>
      </c>
    </row>
    <row r="93" spans="1:2" x14ac:dyDescent="0.3">
      <c r="A93" t="s">
        <v>83</v>
      </c>
      <c r="B93">
        <v>206.81</v>
      </c>
    </row>
    <row r="94" spans="1:2" x14ac:dyDescent="0.3">
      <c r="A94" t="s">
        <v>139</v>
      </c>
      <c r="B94">
        <v>79.89</v>
      </c>
    </row>
    <row r="95" spans="1:2" x14ac:dyDescent="0.3">
      <c r="A95" t="s">
        <v>44</v>
      </c>
      <c r="B95">
        <v>62.52</v>
      </c>
    </row>
    <row r="96" spans="1:2" x14ac:dyDescent="0.3">
      <c r="A96" t="s">
        <v>64</v>
      </c>
      <c r="B96">
        <v>67.52</v>
      </c>
    </row>
    <row r="97" spans="1:2" x14ac:dyDescent="0.3">
      <c r="A97" t="s">
        <v>17</v>
      </c>
      <c r="B97">
        <v>151.09</v>
      </c>
    </row>
    <row r="98" spans="1:2" x14ac:dyDescent="0.3">
      <c r="A98" t="s">
        <v>37</v>
      </c>
      <c r="B98">
        <v>92.63</v>
      </c>
    </row>
    <row r="99" spans="1:2" x14ac:dyDescent="0.3">
      <c r="A99" t="s">
        <v>26</v>
      </c>
      <c r="B99">
        <v>191.97</v>
      </c>
    </row>
    <row r="100" spans="1:2" x14ac:dyDescent="0.3">
      <c r="A100" t="s">
        <v>43</v>
      </c>
      <c r="B100">
        <v>53.88</v>
      </c>
    </row>
    <row r="101" spans="1:2" x14ac:dyDescent="0.3">
      <c r="A101" t="s">
        <v>97</v>
      </c>
      <c r="B101">
        <v>39.200000000000003</v>
      </c>
    </row>
    <row r="102" spans="1:2" x14ac:dyDescent="0.3">
      <c r="A102" t="s">
        <v>42</v>
      </c>
      <c r="B102">
        <v>66.38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NG</dc:creator>
  <cp:lastModifiedBy>JJ NG</cp:lastModifiedBy>
  <dcterms:created xsi:type="dcterms:W3CDTF">2015-06-05T18:17:20Z</dcterms:created>
  <dcterms:modified xsi:type="dcterms:W3CDTF">2022-09-20T10:18:54Z</dcterms:modified>
</cp:coreProperties>
</file>